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tukingshurstac-my.sharepoint.com/personal/a76555_3653_pro/Documents/Documentos/2026/CADERNOS PROEA/"/>
    </mc:Choice>
  </mc:AlternateContent>
  <xr:revisionPtr revIDLastSave="2190" documentId="8_{8462E776-6DA2-4720-958C-CA7F2D0966D4}" xr6:coauthVersionLast="47" xr6:coauthVersionMax="47" xr10:uidLastSave="{08AE2327-C025-472F-97E1-26EAD3CC78A9}"/>
  <bookViews>
    <workbookView xWindow="-108" yWindow="-108" windowWidth="23256" windowHeight="12456" tabRatio="500" xr2:uid="{00000000-000D-0000-FFFF-FFFF00000000}"/>
  </bookViews>
  <sheets>
    <sheet name="Desempenho por Ano e Component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1" i="1" l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F31" i="1"/>
  <c r="H30" i="1"/>
  <c r="G30" i="1"/>
  <c r="F30" i="1"/>
  <c r="H29" i="1"/>
  <c r="G29" i="1"/>
  <c r="F29" i="1"/>
  <c r="H28" i="1"/>
  <c r="G28" i="1"/>
  <c r="F28" i="1"/>
  <c r="H27" i="1"/>
  <c r="G27" i="1"/>
  <c r="F27" i="1"/>
  <c r="H26" i="1"/>
  <c r="G26" i="1"/>
  <c r="F26" i="1"/>
  <c r="H25" i="1"/>
  <c r="G25" i="1"/>
  <c r="F25" i="1"/>
  <c r="H24" i="1"/>
  <c r="G24" i="1"/>
  <c r="F24" i="1"/>
  <c r="H23" i="1"/>
  <c r="G23" i="1"/>
  <c r="F23" i="1"/>
  <c r="H22" i="1"/>
  <c r="G22" i="1"/>
  <c r="F22" i="1"/>
  <c r="H21" i="1"/>
  <c r="G21" i="1"/>
  <c r="F21" i="1"/>
  <c r="H20" i="1"/>
  <c r="G20" i="1"/>
  <c r="F20" i="1"/>
  <c r="H19" i="1"/>
  <c r="G19" i="1"/>
  <c r="F19" i="1"/>
  <c r="H18" i="1"/>
  <c r="G18" i="1"/>
  <c r="F18" i="1"/>
  <c r="H17" i="1"/>
  <c r="G17" i="1"/>
  <c r="F17" i="1"/>
  <c r="H16" i="1"/>
  <c r="G16" i="1"/>
  <c r="F16" i="1"/>
  <c r="H15" i="1"/>
  <c r="G15" i="1"/>
  <c r="F15" i="1"/>
  <c r="H14" i="1"/>
  <c r="G14" i="1"/>
  <c r="F14" i="1"/>
  <c r="H13" i="1"/>
  <c r="G13" i="1"/>
  <c r="F13" i="1"/>
  <c r="H12" i="1"/>
  <c r="G12" i="1"/>
  <c r="F12" i="1"/>
  <c r="H11" i="1"/>
  <c r="G11" i="1"/>
  <c r="F11" i="1"/>
  <c r="H10" i="1"/>
  <c r="G10" i="1"/>
  <c r="F10" i="1"/>
  <c r="H9" i="1"/>
  <c r="G9" i="1"/>
  <c r="F9" i="1"/>
  <c r="H8" i="1"/>
  <c r="G8" i="1"/>
  <c r="F8" i="1"/>
  <c r="H7" i="1"/>
  <c r="G7" i="1"/>
  <c r="F7" i="1"/>
  <c r="H6" i="1"/>
  <c r="G6" i="1"/>
  <c r="F6" i="1"/>
  <c r="H5" i="1"/>
  <c r="G5" i="1"/>
  <c r="F5" i="1"/>
  <c r="H4" i="1"/>
  <c r="G4" i="1"/>
  <c r="F4" i="1"/>
  <c r="H3" i="1"/>
  <c r="G3" i="1"/>
  <c r="F3" i="1"/>
  <c r="E28" i="1"/>
  <c r="D31" i="1"/>
  <c r="C31" i="1"/>
  <c r="E30" i="1"/>
  <c r="E29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31" i="1" l="1"/>
</calcChain>
</file>

<file path=xl/sharedStrings.xml><?xml version="1.0" encoding="utf-8"?>
<sst xmlns="http://schemas.openxmlformats.org/spreadsheetml/2006/main" count="71" uniqueCount="26">
  <si>
    <t>Desempenho por Escola, Ano Escolar e Componente Curricular — AVALIE.CE 2026.1</t>
  </si>
  <si>
    <t>Escola</t>
  </si>
  <si>
    <t>Ano Escolar</t>
  </si>
  <si>
    <t>Língua Portuguesa (%)</t>
  </si>
  <si>
    <t>Matemática (%)</t>
  </si>
  <si>
    <t>Média Geral (%)</t>
  </si>
  <si>
    <t>EEF 21 de Dezembro</t>
  </si>
  <si>
    <t>8º Ano</t>
  </si>
  <si>
    <t>9º Ano</t>
  </si>
  <si>
    <t>EEF Firmino José</t>
  </si>
  <si>
    <t>2º Ano</t>
  </si>
  <si>
    <t>4º Ano</t>
  </si>
  <si>
    <t>5º Ano</t>
  </si>
  <si>
    <t>EEF Francisco Mourão Lima</t>
  </si>
  <si>
    <t>EEIEF 03 de Dezembro</t>
  </si>
  <si>
    <t>EEIEF Antônio de Sousa Barros</t>
  </si>
  <si>
    <t>EEIEF José Alves de Sena</t>
  </si>
  <si>
    <t>EEIEF Maria Amélia Rodrigues de Sousa</t>
  </si>
  <si>
    <t>Média Geral da Rede</t>
  </si>
  <si>
    <t>Gap LP−Mat (pp)</t>
  </si>
  <si>
    <t>vs Média da Rede (pp)</t>
  </si>
  <si>
    <t>Média da Escola (%)</t>
  </si>
  <si>
    <t>Classificação</t>
  </si>
  <si>
    <t>—</t>
  </si>
  <si>
    <t>Base da Rede</t>
  </si>
  <si>
    <t>Habilidades Críticas (nº)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</si>
</sst>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\%"/>
    <numFmt numFmtId="165" formatCode="0.0"/>
    <numFmt numFmtId="166" formatCode="\+0.0;\-0.0;0.0"/>
  </numFmts>
  <fonts count="16" x14ac:knownFonts="1">
    <font>
      <sz val="11"/>
      <color theme="1"/>
      <name val="Calibri"/>
      <family val="2"/>
      <charset val="1"/>
    </font>
    <font>
      <b/>
      <sz val="12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0D4F7C"/>
      <name val="Arial"/>
      <charset val="1"/>
    </font>
    <font>
      <sz val="10"/>
      <name val="Arial"/>
      <charset val="1"/>
    </font>
    <font>
      <b/>
      <sz val="10"/>
      <color rgb="FF0000FF"/>
      <name val="Arial"/>
      <charset val="1"/>
    </font>
    <font>
      <b/>
      <sz val="10"/>
      <color rgb="FFFFFF00"/>
      <name val="Arial"/>
      <charset val="1"/>
    </font>
    <font>
      <b/>
      <sz val="10"/>
      <color rgb="FFFFFFFF"/>
      <name val="Arial"/>
    </font>
    <font>
      <sz val="10"/>
      <color rgb="FFFFFFFF"/>
      <name val="Arial"/>
    </font>
    <font>
      <sz val="10"/>
      <color rgb="FF000000"/>
      <name val="Arial"/>
    </font>
    <font>
      <b/>
      <sz val="10"/>
      <color rgb="FF0000FF"/>
      <name val="Arial"/>
    </font>
    <font>
      <b/>
      <sz val="10"/>
      <color rgb="FFCC0000"/>
      <name val="Arial"/>
    </font>
    <font>
      <b/>
      <sz val="10"/>
      <color rgb="FF006400"/>
      <name val="Arial"/>
    </font>
    <font>
      <sz val="10"/>
      <color rgb="FF7A5500"/>
      <name val="Arial"/>
    </font>
    <font>
      <b/>
      <sz val="10"/>
      <color rgb="FF1A5C1A"/>
      <name val="Arial"/>
    </font>
    <font>
      <b/>
      <sz val="10"/>
      <color rgb="FFCC6600"/>
      <name val="Arial"/>
    </font>
  </fonts>
  <fills count="11">
    <fill>
      <patternFill patternType="none"/>
    </fill>
    <fill>
      <patternFill patternType="gray125"/>
    </fill>
    <fill>
      <patternFill patternType="solid">
        <fgColor rgb="FF0D4F7C"/>
        <bgColor rgb="FF1D6FA5"/>
      </patternFill>
    </fill>
    <fill>
      <patternFill patternType="solid">
        <fgColor rgb="FF1D6FA5"/>
        <bgColor rgb="FF008080"/>
      </patternFill>
    </fill>
    <fill>
      <patternFill patternType="solid">
        <fgColor rgb="FFD0E8F5"/>
        <bgColor rgb="FFE8F0FE"/>
      </patternFill>
    </fill>
    <fill>
      <patternFill patternType="solid">
        <fgColor rgb="FFEBF4FB"/>
        <bgColor rgb="FFE8F0FE"/>
      </patternFill>
    </fill>
    <fill>
      <patternFill patternType="solid">
        <fgColor rgb="FFE8F0FE"/>
        <bgColor rgb="FFEBF4FB"/>
      </patternFill>
    </fill>
    <fill>
      <patternFill patternType="solid">
        <fgColor rgb="FFFFFFFF"/>
        <bgColor rgb="FFEBF4FB"/>
      </patternFill>
    </fill>
    <fill>
      <patternFill patternType="solid">
        <fgColor rgb="FF1D6FA5"/>
        <bgColor indexed="64"/>
      </patternFill>
    </fill>
    <fill>
      <patternFill patternType="solid">
        <fgColor rgb="FFEBF4FB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165" fontId="8" fillId="8" borderId="0" xfId="0" applyNumberFormat="1" applyFont="1" applyFill="1" applyAlignment="1">
      <alignment horizontal="center"/>
    </xf>
    <xf numFmtId="0" fontId="8" fillId="8" borderId="0" xfId="0" applyFont="1" applyFill="1" applyAlignment="1">
      <alignment horizontal="center"/>
    </xf>
    <xf numFmtId="165" fontId="9" fillId="9" borderId="0" xfId="0" applyNumberFormat="1" applyFont="1" applyFill="1" applyAlignment="1">
      <alignment horizontal="center"/>
    </xf>
    <xf numFmtId="164" fontId="10" fillId="9" borderId="0" xfId="0" applyNumberFormat="1" applyFont="1" applyFill="1" applyAlignment="1">
      <alignment horizontal="center"/>
    </xf>
    <xf numFmtId="165" fontId="9" fillId="10" borderId="0" xfId="0" applyNumberFormat="1" applyFont="1" applyFill="1" applyAlignment="1">
      <alignment horizontal="center"/>
    </xf>
    <xf numFmtId="164" fontId="10" fillId="10" borderId="0" xfId="0" applyNumberFormat="1" applyFont="1" applyFill="1" applyAlignment="1">
      <alignment horizontal="center"/>
    </xf>
    <xf numFmtId="166" fontId="11" fillId="9" borderId="0" xfId="0" applyNumberFormat="1" applyFont="1" applyFill="1" applyAlignment="1">
      <alignment horizontal="center"/>
    </xf>
    <xf numFmtId="166" fontId="11" fillId="10" borderId="0" xfId="0" applyNumberFormat="1" applyFont="1" applyFill="1" applyAlignment="1">
      <alignment horizontal="center"/>
    </xf>
    <xf numFmtId="166" fontId="12" fillId="9" borderId="0" xfId="0" applyNumberFormat="1" applyFont="1" applyFill="1" applyAlignment="1">
      <alignment horizontal="center"/>
    </xf>
    <xf numFmtId="166" fontId="12" fillId="10" borderId="0" xfId="0" applyNumberFormat="1" applyFont="1" applyFill="1" applyAlignment="1">
      <alignment horizontal="center"/>
    </xf>
    <xf numFmtId="0" fontId="8" fillId="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3" fillId="9" borderId="0" xfId="0" applyFont="1" applyFill="1" applyAlignment="1">
      <alignment horizontal="left"/>
    </xf>
    <xf numFmtId="0" fontId="14" fillId="9" borderId="0" xfId="0" applyFont="1" applyFill="1" applyAlignment="1">
      <alignment horizontal="left"/>
    </xf>
    <xf numFmtId="0" fontId="11" fillId="9" borderId="0" xfId="0" applyFont="1" applyFill="1" applyAlignment="1">
      <alignment horizontal="left"/>
    </xf>
    <xf numFmtId="0" fontId="11" fillId="9" borderId="0" xfId="0" applyFont="1" applyFill="1" applyAlignment="1">
      <alignment horizontal="center"/>
    </xf>
    <xf numFmtId="0" fontId="15" fillId="10" borderId="0" xfId="0" applyFont="1" applyFill="1" applyAlignment="1">
      <alignment horizontal="center"/>
    </xf>
    <xf numFmtId="0" fontId="12" fillId="9" borderId="0" xfId="0" applyFont="1" applyFill="1" applyAlignment="1">
      <alignment horizontal="center"/>
    </xf>
    <xf numFmtId="0" fontId="15" fillId="9" borderId="0" xfId="0" applyFont="1" applyFill="1" applyAlignment="1">
      <alignment horizontal="center"/>
    </xf>
    <xf numFmtId="0" fontId="11" fillId="10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8F0FE"/>
      <rgbColor rgb="FFD0E8F5"/>
      <rgbColor rgb="FF660066"/>
      <rgbColor rgb="FFFF8080"/>
      <rgbColor rgb="FF1D6FA5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4F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D4F7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C1B7E17-8384-4385-864E-B961D360A2BC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2"/>
  <sheetViews>
    <sheetView tabSelected="1" zoomScaleNormal="100" workbookViewId="0">
      <pane ySplit="2" topLeftCell="A6" activePane="bottomLeft" state="frozen"/>
      <selection pane="bottomLeft" activeCell="F2" sqref="F2"/>
    </sheetView>
  </sheetViews>
  <sheetFormatPr defaultColWidth="8.6640625" defaultRowHeight="14.4" x14ac:dyDescent="0.3"/>
  <cols>
    <col min="1" max="1" width="36.5546875" bestFit="1" customWidth="1"/>
    <col min="2" max="2" width="12" customWidth="1"/>
    <col min="3" max="3" width="22" customWidth="1"/>
    <col min="4" max="5" width="17" customWidth="1"/>
    <col min="6" max="6" width="16.21875" customWidth="1"/>
    <col min="7" max="7" width="20.5546875" bestFit="1" customWidth="1"/>
    <col min="8" max="8" width="18.88671875" bestFit="1" customWidth="1"/>
    <col min="9" max="9" width="12.44140625" style="23" bestFit="1" customWidth="1"/>
    <col min="10" max="10" width="22.21875" bestFit="1" customWidth="1"/>
  </cols>
  <sheetData>
    <row r="1" spans="1:10" ht="25.5" customHeight="1" x14ac:dyDescent="0.3">
      <c r="A1" s="33" t="s">
        <v>0</v>
      </c>
      <c r="B1" s="34"/>
      <c r="C1" s="34"/>
      <c r="D1" s="34"/>
      <c r="E1" s="34"/>
      <c r="F1" s="34"/>
      <c r="G1" s="34"/>
      <c r="H1" s="34"/>
      <c r="I1" s="34"/>
      <c r="J1" s="34"/>
    </row>
    <row r="2" spans="1:10" ht="21.7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1" t="s">
        <v>19</v>
      </c>
      <c r="G2" s="11" t="s">
        <v>20</v>
      </c>
      <c r="H2" s="11" t="s">
        <v>21</v>
      </c>
      <c r="I2" s="11" t="s">
        <v>22</v>
      </c>
      <c r="J2" s="11" t="s">
        <v>25</v>
      </c>
    </row>
    <row r="3" spans="1:10" ht="16.5" customHeight="1" x14ac:dyDescent="0.3">
      <c r="A3" s="2" t="s">
        <v>6</v>
      </c>
      <c r="B3" s="3" t="s">
        <v>7</v>
      </c>
      <c r="C3" s="4">
        <v>68.3</v>
      </c>
      <c r="D3" s="4">
        <v>61.3</v>
      </c>
      <c r="E3" s="5">
        <f t="shared" ref="E3:E30" si="0">AVERAGE(C3:D3)</f>
        <v>64.8</v>
      </c>
      <c r="F3" s="14">
        <f>C3-D3</f>
        <v>7</v>
      </c>
      <c r="G3" s="18">
        <f>E3-$E$31</f>
        <v>-2.666071428571442</v>
      </c>
      <c r="H3" s="15">
        <f>AVERAGEIF($A$3:$A$30,A3,$E$3:$E$30)</f>
        <v>63.75</v>
      </c>
      <c r="I3" s="24" t="str">
        <f>IF(E3&gt;=70,"Adequado",IF(E3&gt;=60,"Regular","Atenção"))</f>
        <v>Regular</v>
      </c>
      <c r="J3" s="27">
        <v>14</v>
      </c>
    </row>
    <row r="4" spans="1:10" ht="16.5" customHeight="1" x14ac:dyDescent="0.3">
      <c r="A4" s="2" t="s">
        <v>6</v>
      </c>
      <c r="B4" s="6" t="s">
        <v>8</v>
      </c>
      <c r="C4" s="7">
        <v>66.099999999999994</v>
      </c>
      <c r="D4" s="7">
        <v>59.3</v>
      </c>
      <c r="E4" s="5">
        <f t="shared" si="0"/>
        <v>62.699999999999996</v>
      </c>
      <c r="F4" s="16">
        <f t="shared" ref="F4:F30" si="1">C4-D4</f>
        <v>6.7999999999999972</v>
      </c>
      <c r="G4" s="19">
        <f t="shared" ref="G4:G30" si="2">E4-$E$31</f>
        <v>-4.7660714285714434</v>
      </c>
      <c r="H4" s="17">
        <f t="shared" ref="H4:H30" si="3">AVERAGEIF($A$3:$A$30,A4,$E$3:$E$30)</f>
        <v>63.75</v>
      </c>
      <c r="I4" s="24" t="str">
        <f t="shared" ref="I4:I30" si="4">IF(E4&gt;=70,"Adequado",IF(E4&gt;=60,"Regular","Atenção"))</f>
        <v>Regular</v>
      </c>
      <c r="J4" s="28">
        <v>10</v>
      </c>
    </row>
    <row r="5" spans="1:10" ht="16.5" customHeight="1" x14ac:dyDescent="0.3">
      <c r="A5" s="2" t="s">
        <v>9</v>
      </c>
      <c r="B5" s="3" t="s">
        <v>10</v>
      </c>
      <c r="C5" s="4">
        <v>83.6</v>
      </c>
      <c r="D5" s="4">
        <v>74.599999999999994</v>
      </c>
      <c r="E5" s="5">
        <f t="shared" si="0"/>
        <v>79.099999999999994</v>
      </c>
      <c r="F5" s="14">
        <f t="shared" si="1"/>
        <v>9</v>
      </c>
      <c r="G5" s="20">
        <f t="shared" si="2"/>
        <v>11.633928571428555</v>
      </c>
      <c r="H5" s="15">
        <f t="shared" si="3"/>
        <v>72.8</v>
      </c>
      <c r="I5" s="25" t="str">
        <f t="shared" si="4"/>
        <v>Adequado</v>
      </c>
      <c r="J5" s="29">
        <v>6</v>
      </c>
    </row>
    <row r="6" spans="1:10" ht="16.5" customHeight="1" x14ac:dyDescent="0.3">
      <c r="A6" s="2" t="s">
        <v>9</v>
      </c>
      <c r="B6" s="6" t="s">
        <v>11</v>
      </c>
      <c r="C6" s="7">
        <v>73.900000000000006</v>
      </c>
      <c r="D6" s="7">
        <v>71.3</v>
      </c>
      <c r="E6" s="5">
        <f t="shared" si="0"/>
        <v>72.599999999999994</v>
      </c>
      <c r="F6" s="16">
        <f t="shared" si="1"/>
        <v>2.6000000000000085</v>
      </c>
      <c r="G6" s="21">
        <f t="shared" si="2"/>
        <v>5.1339285714285552</v>
      </c>
      <c r="H6" s="17">
        <f t="shared" si="3"/>
        <v>72.8</v>
      </c>
      <c r="I6" s="25" t="str">
        <f t="shared" si="4"/>
        <v>Adequado</v>
      </c>
      <c r="J6" s="28">
        <v>8</v>
      </c>
    </row>
    <row r="7" spans="1:10" ht="16.5" customHeight="1" x14ac:dyDescent="0.3">
      <c r="A7" s="2" t="s">
        <v>9</v>
      </c>
      <c r="B7" s="3" t="s">
        <v>12</v>
      </c>
      <c r="C7" s="4">
        <v>78.2</v>
      </c>
      <c r="D7" s="4">
        <v>69.8</v>
      </c>
      <c r="E7" s="5">
        <f t="shared" si="0"/>
        <v>74</v>
      </c>
      <c r="F7" s="14">
        <f t="shared" si="1"/>
        <v>8.4000000000000057</v>
      </c>
      <c r="G7" s="20">
        <f t="shared" si="2"/>
        <v>6.5339285714285609</v>
      </c>
      <c r="H7" s="15">
        <f t="shared" si="3"/>
        <v>72.8</v>
      </c>
      <c r="I7" s="25" t="str">
        <f t="shared" si="4"/>
        <v>Adequado</v>
      </c>
      <c r="J7" s="27">
        <v>16</v>
      </c>
    </row>
    <row r="8" spans="1:10" ht="16.5" customHeight="1" x14ac:dyDescent="0.3">
      <c r="A8" s="2" t="s">
        <v>9</v>
      </c>
      <c r="B8" s="6" t="s">
        <v>7</v>
      </c>
      <c r="C8" s="7">
        <v>74.2</v>
      </c>
      <c r="D8" s="7">
        <v>66.2</v>
      </c>
      <c r="E8" s="5">
        <f t="shared" si="0"/>
        <v>70.2</v>
      </c>
      <c r="F8" s="16">
        <f t="shared" si="1"/>
        <v>8</v>
      </c>
      <c r="G8" s="21">
        <f t="shared" si="2"/>
        <v>2.7339285714285637</v>
      </c>
      <c r="H8" s="17">
        <f t="shared" si="3"/>
        <v>72.8</v>
      </c>
      <c r="I8" s="25" t="str">
        <f t="shared" si="4"/>
        <v>Adequado</v>
      </c>
      <c r="J8" s="28">
        <v>8</v>
      </c>
    </row>
    <row r="9" spans="1:10" ht="16.5" customHeight="1" x14ac:dyDescent="0.3">
      <c r="A9" s="2" t="s">
        <v>9</v>
      </c>
      <c r="B9" s="3" t="s">
        <v>8</v>
      </c>
      <c r="C9" s="4">
        <v>72</v>
      </c>
      <c r="D9" s="4">
        <v>64.2</v>
      </c>
      <c r="E9" s="5">
        <f t="shared" si="0"/>
        <v>68.099999999999994</v>
      </c>
      <c r="F9" s="14">
        <f t="shared" si="1"/>
        <v>7.7999999999999972</v>
      </c>
      <c r="G9" s="20">
        <f t="shared" si="2"/>
        <v>0.63392857142855519</v>
      </c>
      <c r="H9" s="15">
        <f t="shared" si="3"/>
        <v>72.8</v>
      </c>
      <c r="I9" s="24" t="str">
        <f t="shared" si="4"/>
        <v>Regular</v>
      </c>
      <c r="J9" s="29">
        <v>7</v>
      </c>
    </row>
    <row r="10" spans="1:10" ht="16.5" customHeight="1" x14ac:dyDescent="0.3">
      <c r="A10" s="2" t="s">
        <v>13</v>
      </c>
      <c r="B10" s="6" t="s">
        <v>10</v>
      </c>
      <c r="C10" s="7">
        <v>75.099999999999994</v>
      </c>
      <c r="D10" s="7">
        <v>57.9</v>
      </c>
      <c r="E10" s="5">
        <f t="shared" si="0"/>
        <v>66.5</v>
      </c>
      <c r="F10" s="16">
        <f t="shared" si="1"/>
        <v>17.199999999999996</v>
      </c>
      <c r="G10" s="19">
        <f t="shared" si="2"/>
        <v>-0.96607142857143913</v>
      </c>
      <c r="H10" s="17">
        <f t="shared" si="3"/>
        <v>63.666666666666664</v>
      </c>
      <c r="I10" s="24" t="str">
        <f t="shared" si="4"/>
        <v>Regular</v>
      </c>
      <c r="J10" s="28">
        <v>8</v>
      </c>
    </row>
    <row r="11" spans="1:10" ht="16.5" customHeight="1" x14ac:dyDescent="0.3">
      <c r="A11" s="2" t="s">
        <v>13</v>
      </c>
      <c r="B11" s="3" t="s">
        <v>11</v>
      </c>
      <c r="C11" s="4">
        <v>71.099999999999994</v>
      </c>
      <c r="D11" s="4">
        <v>54.9</v>
      </c>
      <c r="E11" s="5">
        <f t="shared" si="0"/>
        <v>63</v>
      </c>
      <c r="F11" s="14">
        <f t="shared" si="1"/>
        <v>16.199999999999996</v>
      </c>
      <c r="G11" s="18">
        <f t="shared" si="2"/>
        <v>-4.4660714285714391</v>
      </c>
      <c r="H11" s="15">
        <f t="shared" si="3"/>
        <v>63.666666666666664</v>
      </c>
      <c r="I11" s="24" t="str">
        <f t="shared" si="4"/>
        <v>Regular</v>
      </c>
      <c r="J11" s="30">
        <v>10</v>
      </c>
    </row>
    <row r="12" spans="1:10" ht="16.5" customHeight="1" x14ac:dyDescent="0.3">
      <c r="A12" s="2" t="s">
        <v>13</v>
      </c>
      <c r="B12" s="6" t="s">
        <v>12</v>
      </c>
      <c r="C12" s="7">
        <v>69.400000000000006</v>
      </c>
      <c r="D12" s="7">
        <v>53.6</v>
      </c>
      <c r="E12" s="5">
        <f t="shared" si="0"/>
        <v>61.5</v>
      </c>
      <c r="F12" s="16">
        <f t="shared" si="1"/>
        <v>15.800000000000004</v>
      </c>
      <c r="G12" s="19">
        <f t="shared" si="2"/>
        <v>-5.9660714285714391</v>
      </c>
      <c r="H12" s="17">
        <f t="shared" si="3"/>
        <v>63.666666666666664</v>
      </c>
      <c r="I12" s="24" t="str">
        <f t="shared" si="4"/>
        <v>Regular</v>
      </c>
      <c r="J12" s="31">
        <v>13</v>
      </c>
    </row>
    <row r="13" spans="1:10" ht="16.5" customHeight="1" x14ac:dyDescent="0.3">
      <c r="A13" s="2" t="s">
        <v>14</v>
      </c>
      <c r="B13" s="3" t="s">
        <v>10</v>
      </c>
      <c r="C13" s="4">
        <v>87</v>
      </c>
      <c r="D13" s="4">
        <v>81.599999999999994</v>
      </c>
      <c r="E13" s="5">
        <f t="shared" si="0"/>
        <v>84.3</v>
      </c>
      <c r="F13" s="14">
        <f t="shared" si="1"/>
        <v>5.4000000000000057</v>
      </c>
      <c r="G13" s="20">
        <f t="shared" si="2"/>
        <v>16.833928571428558</v>
      </c>
      <c r="H13" s="15">
        <f t="shared" si="3"/>
        <v>82.3</v>
      </c>
      <c r="I13" s="25" t="str">
        <f t="shared" si="4"/>
        <v>Adequado</v>
      </c>
      <c r="J13" s="29">
        <v>7</v>
      </c>
    </row>
    <row r="14" spans="1:10" ht="16.5" customHeight="1" x14ac:dyDescent="0.3">
      <c r="A14" s="2" t="s">
        <v>14</v>
      </c>
      <c r="B14" s="6" t="s">
        <v>11</v>
      </c>
      <c r="C14" s="7">
        <v>83.4</v>
      </c>
      <c r="D14" s="7">
        <v>78.2</v>
      </c>
      <c r="E14" s="5">
        <f t="shared" si="0"/>
        <v>80.800000000000011</v>
      </c>
      <c r="F14" s="16">
        <f t="shared" si="1"/>
        <v>5.2000000000000028</v>
      </c>
      <c r="G14" s="21">
        <f t="shared" si="2"/>
        <v>13.333928571428572</v>
      </c>
      <c r="H14" s="17">
        <f t="shared" si="3"/>
        <v>82.3</v>
      </c>
      <c r="I14" s="25" t="str">
        <f t="shared" si="4"/>
        <v>Adequado</v>
      </c>
      <c r="J14" s="32">
        <v>7</v>
      </c>
    </row>
    <row r="15" spans="1:10" ht="16.5" customHeight="1" x14ac:dyDescent="0.3">
      <c r="A15" s="2" t="s">
        <v>14</v>
      </c>
      <c r="B15" s="3" t="s">
        <v>12</v>
      </c>
      <c r="C15" s="4">
        <v>81.8</v>
      </c>
      <c r="D15" s="4">
        <v>76.599999999999994</v>
      </c>
      <c r="E15" s="5">
        <f t="shared" si="0"/>
        <v>79.199999999999989</v>
      </c>
      <c r="F15" s="14">
        <f t="shared" si="1"/>
        <v>5.2000000000000028</v>
      </c>
      <c r="G15" s="20">
        <f t="shared" si="2"/>
        <v>11.73392857142855</v>
      </c>
      <c r="H15" s="15">
        <f t="shared" si="3"/>
        <v>82.3</v>
      </c>
      <c r="I15" s="25" t="str">
        <f t="shared" si="4"/>
        <v>Adequado</v>
      </c>
      <c r="J15" s="30">
        <v>11</v>
      </c>
    </row>
    <row r="16" spans="1:10" ht="16.5" customHeight="1" x14ac:dyDescent="0.3">
      <c r="A16" s="2" t="s">
        <v>14</v>
      </c>
      <c r="B16" s="6" t="s">
        <v>7</v>
      </c>
      <c r="C16" s="7">
        <v>82.1</v>
      </c>
      <c r="D16" s="7">
        <v>86</v>
      </c>
      <c r="E16" s="5">
        <f t="shared" si="0"/>
        <v>84.05</v>
      </c>
      <c r="F16" s="16">
        <f t="shared" si="1"/>
        <v>-3.9000000000000057</v>
      </c>
      <c r="G16" s="21">
        <f t="shared" si="2"/>
        <v>16.583928571428558</v>
      </c>
      <c r="H16" s="17">
        <f t="shared" si="3"/>
        <v>82.3</v>
      </c>
      <c r="I16" s="25" t="str">
        <f t="shared" si="4"/>
        <v>Adequado</v>
      </c>
      <c r="J16" s="31">
        <v>15</v>
      </c>
    </row>
    <row r="17" spans="1:10" ht="16.5" customHeight="1" x14ac:dyDescent="0.3">
      <c r="A17" s="2" t="s">
        <v>14</v>
      </c>
      <c r="B17" s="3" t="s">
        <v>8</v>
      </c>
      <c r="C17" s="4">
        <v>85</v>
      </c>
      <c r="D17" s="4">
        <v>81.3</v>
      </c>
      <c r="E17" s="5">
        <f t="shared" si="0"/>
        <v>83.15</v>
      </c>
      <c r="F17" s="14">
        <f t="shared" si="1"/>
        <v>3.7000000000000028</v>
      </c>
      <c r="G17" s="20">
        <f t="shared" si="2"/>
        <v>15.683928571428567</v>
      </c>
      <c r="H17" s="15">
        <f t="shared" si="3"/>
        <v>82.3</v>
      </c>
      <c r="I17" s="25" t="str">
        <f t="shared" si="4"/>
        <v>Adequado</v>
      </c>
      <c r="J17" s="27">
        <v>12</v>
      </c>
    </row>
    <row r="18" spans="1:10" ht="16.5" customHeight="1" x14ac:dyDescent="0.3">
      <c r="A18" s="2" t="s">
        <v>15</v>
      </c>
      <c r="B18" s="6" t="s">
        <v>10</v>
      </c>
      <c r="C18" s="7">
        <v>66.099999999999994</v>
      </c>
      <c r="D18" s="7">
        <v>55.9</v>
      </c>
      <c r="E18" s="5">
        <f t="shared" si="0"/>
        <v>61</v>
      </c>
      <c r="F18" s="16">
        <f t="shared" si="1"/>
        <v>10.199999999999996</v>
      </c>
      <c r="G18" s="19">
        <f t="shared" si="2"/>
        <v>-6.4660714285714391</v>
      </c>
      <c r="H18" s="17">
        <f t="shared" si="3"/>
        <v>57.589999999999996</v>
      </c>
      <c r="I18" s="24" t="str">
        <f t="shared" si="4"/>
        <v>Regular</v>
      </c>
      <c r="J18" s="31">
        <v>14</v>
      </c>
    </row>
    <row r="19" spans="1:10" ht="16.5" customHeight="1" x14ac:dyDescent="0.3">
      <c r="A19" s="2" t="s">
        <v>15</v>
      </c>
      <c r="B19" s="3" t="s">
        <v>11</v>
      </c>
      <c r="C19" s="4">
        <v>62.3</v>
      </c>
      <c r="D19" s="4">
        <v>52.7</v>
      </c>
      <c r="E19" s="5">
        <f t="shared" si="0"/>
        <v>57.5</v>
      </c>
      <c r="F19" s="14">
        <f t="shared" si="1"/>
        <v>9.5999999999999943</v>
      </c>
      <c r="G19" s="18">
        <f t="shared" si="2"/>
        <v>-9.9660714285714391</v>
      </c>
      <c r="H19" s="15">
        <f t="shared" si="3"/>
        <v>57.589999999999996</v>
      </c>
      <c r="I19" s="26" t="str">
        <f t="shared" si="4"/>
        <v>Atenção</v>
      </c>
      <c r="J19" s="29">
        <v>6</v>
      </c>
    </row>
    <row r="20" spans="1:10" ht="16.5" customHeight="1" x14ac:dyDescent="0.3">
      <c r="A20" s="2" t="s">
        <v>15</v>
      </c>
      <c r="B20" s="6" t="s">
        <v>12</v>
      </c>
      <c r="C20" s="7">
        <v>60.7</v>
      </c>
      <c r="D20" s="7">
        <v>51.3</v>
      </c>
      <c r="E20" s="5">
        <f t="shared" si="0"/>
        <v>56</v>
      </c>
      <c r="F20" s="16">
        <f t="shared" si="1"/>
        <v>9.4000000000000057</v>
      </c>
      <c r="G20" s="19">
        <f t="shared" si="2"/>
        <v>-11.466071428571439</v>
      </c>
      <c r="H20" s="17">
        <f t="shared" si="3"/>
        <v>57.589999999999996</v>
      </c>
      <c r="I20" s="26" t="str">
        <f t="shared" si="4"/>
        <v>Atenção</v>
      </c>
      <c r="J20" s="31">
        <v>15</v>
      </c>
    </row>
    <row r="21" spans="1:10" ht="16.5" customHeight="1" x14ac:dyDescent="0.3">
      <c r="A21" s="2" t="s">
        <v>15</v>
      </c>
      <c r="B21" s="3" t="s">
        <v>7</v>
      </c>
      <c r="C21" s="4">
        <v>56.5</v>
      </c>
      <c r="D21" s="4">
        <v>59.7</v>
      </c>
      <c r="E21" s="5">
        <f t="shared" si="0"/>
        <v>58.1</v>
      </c>
      <c r="F21" s="14">
        <f t="shared" si="1"/>
        <v>-3.2000000000000028</v>
      </c>
      <c r="G21" s="18">
        <f t="shared" si="2"/>
        <v>-9.3660714285714377</v>
      </c>
      <c r="H21" s="15">
        <f t="shared" si="3"/>
        <v>57.589999999999996</v>
      </c>
      <c r="I21" s="26" t="str">
        <f t="shared" si="4"/>
        <v>Atenção</v>
      </c>
      <c r="J21" s="27">
        <v>15</v>
      </c>
    </row>
    <row r="22" spans="1:10" ht="16.5" customHeight="1" x14ac:dyDescent="0.3">
      <c r="A22" s="2" t="s">
        <v>15</v>
      </c>
      <c r="B22" s="6" t="s">
        <v>8</v>
      </c>
      <c r="C22" s="7">
        <v>54.2</v>
      </c>
      <c r="D22" s="7">
        <v>56.5</v>
      </c>
      <c r="E22" s="5">
        <f t="shared" si="0"/>
        <v>55.35</v>
      </c>
      <c r="F22" s="16">
        <f t="shared" si="1"/>
        <v>-2.2999999999999972</v>
      </c>
      <c r="G22" s="19">
        <f t="shared" si="2"/>
        <v>-12.116071428571438</v>
      </c>
      <c r="H22" s="17">
        <f t="shared" si="3"/>
        <v>57.589999999999996</v>
      </c>
      <c r="I22" s="26" t="str">
        <f t="shared" si="4"/>
        <v>Atenção</v>
      </c>
      <c r="J22" s="31">
        <v>12</v>
      </c>
    </row>
    <row r="23" spans="1:10" ht="16.5" customHeight="1" x14ac:dyDescent="0.3">
      <c r="A23" s="2" t="s">
        <v>16</v>
      </c>
      <c r="B23" s="3" t="s">
        <v>10</v>
      </c>
      <c r="C23" s="4">
        <v>69.099999999999994</v>
      </c>
      <c r="D23" s="4">
        <v>67.7</v>
      </c>
      <c r="E23" s="5">
        <f t="shared" si="0"/>
        <v>68.400000000000006</v>
      </c>
      <c r="F23" s="14">
        <f t="shared" si="1"/>
        <v>1.3999999999999915</v>
      </c>
      <c r="G23" s="20">
        <f t="shared" si="2"/>
        <v>0.93392857142856656</v>
      </c>
      <c r="H23" s="15">
        <f t="shared" si="3"/>
        <v>63.660000000000004</v>
      </c>
      <c r="I23" s="24" t="str">
        <f t="shared" si="4"/>
        <v>Regular</v>
      </c>
      <c r="J23" s="30">
        <v>10</v>
      </c>
    </row>
    <row r="24" spans="1:10" ht="16.5" customHeight="1" x14ac:dyDescent="0.3">
      <c r="A24" s="2" t="s">
        <v>16</v>
      </c>
      <c r="B24" s="6" t="s">
        <v>11</v>
      </c>
      <c r="C24" s="7">
        <v>65.5</v>
      </c>
      <c r="D24" s="7">
        <v>67.900000000000006</v>
      </c>
      <c r="E24" s="5">
        <f t="shared" si="0"/>
        <v>66.7</v>
      </c>
      <c r="F24" s="16">
        <f t="shared" si="1"/>
        <v>-2.4000000000000057</v>
      </c>
      <c r="G24" s="19">
        <f t="shared" si="2"/>
        <v>-0.76607142857143629</v>
      </c>
      <c r="H24" s="17">
        <f t="shared" si="3"/>
        <v>63.660000000000004</v>
      </c>
      <c r="I24" s="24" t="str">
        <f t="shared" si="4"/>
        <v>Regular</v>
      </c>
      <c r="J24" s="28">
        <v>9</v>
      </c>
    </row>
    <row r="25" spans="1:10" ht="16.5" customHeight="1" x14ac:dyDescent="0.3">
      <c r="A25" s="2" t="s">
        <v>16</v>
      </c>
      <c r="B25" s="3" t="s">
        <v>12</v>
      </c>
      <c r="C25" s="4">
        <v>66.599999999999994</v>
      </c>
      <c r="D25" s="4">
        <v>62.7</v>
      </c>
      <c r="E25" s="5">
        <f t="shared" si="0"/>
        <v>64.650000000000006</v>
      </c>
      <c r="F25" s="14">
        <f t="shared" si="1"/>
        <v>3.8999999999999915</v>
      </c>
      <c r="G25" s="18">
        <f t="shared" si="2"/>
        <v>-2.8160714285714334</v>
      </c>
      <c r="H25" s="15">
        <f t="shared" si="3"/>
        <v>63.660000000000004</v>
      </c>
      <c r="I25" s="24" t="str">
        <f t="shared" si="4"/>
        <v>Regular</v>
      </c>
      <c r="J25" s="27">
        <v>13</v>
      </c>
    </row>
    <row r="26" spans="1:10" ht="16.5" customHeight="1" x14ac:dyDescent="0.3">
      <c r="A26" s="2" t="s">
        <v>16</v>
      </c>
      <c r="B26" s="6" t="s">
        <v>7</v>
      </c>
      <c r="C26" s="7">
        <v>60.1</v>
      </c>
      <c r="D26" s="7">
        <v>62.2</v>
      </c>
      <c r="E26" s="5">
        <f t="shared" si="0"/>
        <v>61.150000000000006</v>
      </c>
      <c r="F26" s="16">
        <f t="shared" si="1"/>
        <v>-2.1000000000000014</v>
      </c>
      <c r="G26" s="19">
        <f t="shared" si="2"/>
        <v>-6.3160714285714334</v>
      </c>
      <c r="H26" s="17">
        <f t="shared" si="3"/>
        <v>63.660000000000004</v>
      </c>
      <c r="I26" s="24" t="str">
        <f t="shared" si="4"/>
        <v>Regular</v>
      </c>
      <c r="J26" s="31">
        <v>17</v>
      </c>
    </row>
    <row r="27" spans="1:10" ht="16.5" customHeight="1" x14ac:dyDescent="0.3">
      <c r="A27" s="2" t="s">
        <v>16</v>
      </c>
      <c r="B27" s="3" t="s">
        <v>8</v>
      </c>
      <c r="C27" s="4">
        <v>58</v>
      </c>
      <c r="D27" s="4">
        <v>56.8</v>
      </c>
      <c r="E27" s="5">
        <f t="shared" si="0"/>
        <v>57.4</v>
      </c>
      <c r="F27" s="14">
        <f t="shared" si="1"/>
        <v>1.2000000000000028</v>
      </c>
      <c r="G27" s="18">
        <f t="shared" si="2"/>
        <v>-10.066071428571441</v>
      </c>
      <c r="H27" s="15">
        <f t="shared" si="3"/>
        <v>63.660000000000004</v>
      </c>
      <c r="I27" s="26" t="str">
        <f t="shared" si="4"/>
        <v>Atenção</v>
      </c>
      <c r="J27" s="30">
        <v>8</v>
      </c>
    </row>
    <row r="28" spans="1:10" ht="16.5" customHeight="1" x14ac:dyDescent="0.3">
      <c r="A28" s="2" t="s">
        <v>17</v>
      </c>
      <c r="B28" s="6" t="s">
        <v>10</v>
      </c>
      <c r="C28" s="7">
        <v>64.5</v>
      </c>
      <c r="D28" s="7">
        <v>59.1</v>
      </c>
      <c r="E28" s="5">
        <f t="shared" si="0"/>
        <v>61.8</v>
      </c>
      <c r="F28" s="16">
        <f t="shared" si="1"/>
        <v>5.3999999999999986</v>
      </c>
      <c r="G28" s="19">
        <f t="shared" si="2"/>
        <v>-5.666071428571442</v>
      </c>
      <c r="H28" s="17">
        <f t="shared" si="3"/>
        <v>62.933333333333337</v>
      </c>
      <c r="I28" s="24" t="str">
        <f t="shared" si="4"/>
        <v>Regular</v>
      </c>
      <c r="J28" s="28">
        <v>10</v>
      </c>
    </row>
    <row r="29" spans="1:10" ht="16.5" customHeight="1" x14ac:dyDescent="0.3">
      <c r="A29" s="2" t="s">
        <v>17</v>
      </c>
      <c r="B29" s="3" t="s">
        <v>11</v>
      </c>
      <c r="C29" s="4">
        <v>66.2</v>
      </c>
      <c r="D29" s="4">
        <v>58</v>
      </c>
      <c r="E29" s="5">
        <f t="shared" si="0"/>
        <v>62.1</v>
      </c>
      <c r="F29" s="14">
        <f t="shared" si="1"/>
        <v>8.2000000000000028</v>
      </c>
      <c r="G29" s="18">
        <f t="shared" si="2"/>
        <v>-5.3660714285714377</v>
      </c>
      <c r="H29" s="15">
        <f t="shared" si="3"/>
        <v>62.933333333333337</v>
      </c>
      <c r="I29" s="24" t="str">
        <f t="shared" si="4"/>
        <v>Regular</v>
      </c>
      <c r="J29" s="29">
        <v>7</v>
      </c>
    </row>
    <row r="30" spans="1:10" ht="16.5" customHeight="1" x14ac:dyDescent="0.3">
      <c r="A30" s="2" t="s">
        <v>17</v>
      </c>
      <c r="B30" s="6" t="s">
        <v>12</v>
      </c>
      <c r="C30" s="7">
        <v>65.5</v>
      </c>
      <c r="D30" s="7">
        <v>64.3</v>
      </c>
      <c r="E30" s="5">
        <f t="shared" si="0"/>
        <v>64.900000000000006</v>
      </c>
      <c r="F30" s="16">
        <f t="shared" si="1"/>
        <v>1.2000000000000028</v>
      </c>
      <c r="G30" s="19">
        <f t="shared" si="2"/>
        <v>-2.5660714285714334</v>
      </c>
      <c r="H30" s="17">
        <f t="shared" si="3"/>
        <v>62.933333333333337</v>
      </c>
      <c r="I30" s="24" t="str">
        <f t="shared" si="4"/>
        <v>Regular</v>
      </c>
      <c r="J30" s="31">
        <v>12</v>
      </c>
    </row>
    <row r="31" spans="1:10" ht="19.5" customHeight="1" x14ac:dyDescent="0.3">
      <c r="A31" s="10" t="s">
        <v>18</v>
      </c>
      <c r="B31" s="10"/>
      <c r="C31" s="8">
        <f>AVERAGE(C3:C30)</f>
        <v>70.232142857142847</v>
      </c>
      <c r="D31" s="8">
        <f>AVERAGE(D3:D30)</f>
        <v>64.700000000000017</v>
      </c>
      <c r="E31" s="9">
        <f>AVERAGE(E3:E30)</f>
        <v>67.466071428571439</v>
      </c>
      <c r="F31" s="12">
        <f>C31-D31</f>
        <v>5.5321428571428299</v>
      </c>
      <c r="G31" s="13" t="s">
        <v>23</v>
      </c>
      <c r="H31" s="13" t="s">
        <v>23</v>
      </c>
      <c r="I31" s="22" t="s">
        <v>24</v>
      </c>
      <c r="J31" s="12">
        <f>AVERAGE(J3:J30)</f>
        <v>10.714285714285714</v>
      </c>
    </row>
    <row r="32" spans="1:10" ht="27.75" customHeight="1" x14ac:dyDescent="0.3"/>
  </sheetData>
  <mergeCells count="2">
    <mergeCell ref="A31:B31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Desempenho por Ano e Componente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a76555</cp:lastModifiedBy>
  <cp:revision>0</cp:revision>
  <dcterms:created xsi:type="dcterms:W3CDTF">2026-03-27T03:38:14Z</dcterms:created>
  <dcterms:modified xsi:type="dcterms:W3CDTF">2026-03-31T12:10:54Z</dcterms:modified>
  <dc:language>en-US</dc:language>
</cp:coreProperties>
</file>