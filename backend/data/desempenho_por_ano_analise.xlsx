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ulo\Dropbox\Codex\paineldadosavalie2026.2\backend\data\"/>
    </mc:Choice>
  </mc:AlternateContent>
  <xr:revisionPtr revIDLastSave="0" documentId="13_ncr:1_{A53D50BD-177C-4A63-A80A-6028BD0EDE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sempenho por Ano e Component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D53" i="1"/>
  <c r="C53" i="1"/>
  <c r="F53" i="1" s="1"/>
  <c r="H52" i="1"/>
  <c r="F52" i="1"/>
  <c r="E52" i="1"/>
  <c r="I52" i="1" s="1"/>
  <c r="H51" i="1"/>
  <c r="F51" i="1"/>
  <c r="E51" i="1"/>
  <c r="I51" i="1" s="1"/>
  <c r="H50" i="1"/>
  <c r="F50" i="1"/>
  <c r="E50" i="1"/>
  <c r="I50" i="1" s="1"/>
  <c r="H49" i="1"/>
  <c r="F49" i="1"/>
  <c r="E49" i="1"/>
  <c r="I49" i="1" s="1"/>
  <c r="I48" i="1"/>
  <c r="H48" i="1"/>
  <c r="F48" i="1"/>
  <c r="E48" i="1"/>
  <c r="H47" i="1"/>
  <c r="F47" i="1"/>
  <c r="E47" i="1"/>
  <c r="I47" i="1" s="1"/>
  <c r="H46" i="1"/>
  <c r="F46" i="1"/>
  <c r="E46" i="1"/>
  <c r="I46" i="1" s="1"/>
  <c r="F45" i="1"/>
  <c r="E45" i="1"/>
  <c r="I45" i="1" s="1"/>
  <c r="F44" i="1"/>
  <c r="E44" i="1"/>
  <c r="I44" i="1" s="1"/>
  <c r="H43" i="1"/>
  <c r="F43" i="1"/>
  <c r="E43" i="1"/>
  <c r="I43" i="1" s="1"/>
  <c r="F42" i="1"/>
  <c r="E42" i="1"/>
  <c r="I42" i="1" s="1"/>
  <c r="F41" i="1"/>
  <c r="E41" i="1"/>
  <c r="I41" i="1" s="1"/>
  <c r="F40" i="1"/>
  <c r="E40" i="1"/>
  <c r="I40" i="1" s="1"/>
  <c r="I39" i="1"/>
  <c r="F39" i="1"/>
  <c r="E39" i="1"/>
  <c r="H38" i="1"/>
  <c r="F38" i="1"/>
  <c r="E38" i="1"/>
  <c r="I38" i="1" s="1"/>
  <c r="F37" i="1"/>
  <c r="E37" i="1"/>
  <c r="H37" i="1" s="1"/>
  <c r="F36" i="1"/>
  <c r="E36" i="1"/>
  <c r="I36" i="1" s="1"/>
  <c r="F35" i="1"/>
  <c r="E35" i="1"/>
  <c r="I35" i="1" s="1"/>
  <c r="F34" i="1"/>
  <c r="E34" i="1"/>
  <c r="I33" i="1"/>
  <c r="F33" i="1"/>
  <c r="E33" i="1"/>
  <c r="I32" i="1"/>
  <c r="F32" i="1"/>
  <c r="E32" i="1"/>
  <c r="G32" i="1" s="1"/>
  <c r="F31" i="1"/>
  <c r="E31" i="1"/>
  <c r="I31" i="1" s="1"/>
  <c r="I30" i="1"/>
  <c r="F30" i="1"/>
  <c r="E30" i="1"/>
  <c r="G30" i="1" s="1"/>
  <c r="F29" i="1"/>
  <c r="E29" i="1"/>
  <c r="H36" i="1" s="1"/>
  <c r="I28" i="1"/>
  <c r="F28" i="1"/>
  <c r="E28" i="1"/>
  <c r="H33" i="1" s="1"/>
  <c r="F27" i="1"/>
  <c r="E27" i="1"/>
  <c r="I27" i="1" s="1"/>
  <c r="I26" i="1"/>
  <c r="H26" i="1"/>
  <c r="F26" i="1"/>
  <c r="E26" i="1"/>
  <c r="I25" i="1"/>
  <c r="F25" i="1"/>
  <c r="E25" i="1"/>
  <c r="I24" i="1"/>
  <c r="F24" i="1"/>
  <c r="E24" i="1"/>
  <c r="I23" i="1"/>
  <c r="F23" i="1"/>
  <c r="E23" i="1"/>
  <c r="F22" i="1"/>
  <c r="E22" i="1"/>
  <c r="I22" i="1" s="1"/>
  <c r="H21" i="1"/>
  <c r="F21" i="1"/>
  <c r="E21" i="1"/>
  <c r="I21" i="1" s="1"/>
  <c r="F20" i="1"/>
  <c r="E20" i="1"/>
  <c r="H27" i="1" s="1"/>
  <c r="F19" i="1"/>
  <c r="E19" i="1"/>
  <c r="I19" i="1" s="1"/>
  <c r="F18" i="1"/>
  <c r="E18" i="1"/>
  <c r="I18" i="1" s="1"/>
  <c r="F17" i="1"/>
  <c r="E17" i="1"/>
  <c r="G17" i="1" s="1"/>
  <c r="F16" i="1"/>
  <c r="E16" i="1"/>
  <c r="F15" i="1"/>
  <c r="E15" i="1"/>
  <c r="I15" i="1" s="1"/>
  <c r="F14" i="1"/>
  <c r="E14" i="1"/>
  <c r="H17" i="1" s="1"/>
  <c r="F13" i="1"/>
  <c r="E13" i="1"/>
  <c r="H7" i="1" s="1"/>
  <c r="I12" i="1"/>
  <c r="F12" i="1"/>
  <c r="E12" i="1"/>
  <c r="G12" i="1" s="1"/>
  <c r="F11" i="1"/>
  <c r="E11" i="1"/>
  <c r="G11" i="1" s="1"/>
  <c r="I10" i="1"/>
  <c r="F10" i="1"/>
  <c r="E10" i="1"/>
  <c r="I9" i="1"/>
  <c r="H9" i="1"/>
  <c r="F9" i="1"/>
  <c r="E9" i="1"/>
  <c r="I8" i="1"/>
  <c r="F8" i="1"/>
  <c r="E8" i="1"/>
  <c r="I7" i="1"/>
  <c r="F7" i="1"/>
  <c r="E7" i="1"/>
  <c r="I6" i="1"/>
  <c r="H6" i="1"/>
  <c r="F6" i="1"/>
  <c r="E6" i="1"/>
  <c r="F5" i="1"/>
  <c r="E5" i="1"/>
  <c r="H12" i="1" s="1"/>
  <c r="H4" i="1"/>
  <c r="F4" i="1"/>
  <c r="E4" i="1"/>
  <c r="I4" i="1" s="1"/>
  <c r="H3" i="1"/>
  <c r="F3" i="1"/>
  <c r="E3" i="1"/>
  <c r="E53" i="1" s="1"/>
  <c r="G50" i="1" l="1"/>
  <c r="G46" i="1"/>
  <c r="G49" i="1"/>
  <c r="G33" i="1"/>
  <c r="G3" i="1"/>
  <c r="G10" i="1"/>
  <c r="G39" i="1"/>
  <c r="G42" i="1"/>
  <c r="G26" i="1"/>
  <c r="G45" i="1"/>
  <c r="G48" i="1"/>
  <c r="G38" i="1"/>
  <c r="G22" i="1"/>
  <c r="G25" i="1"/>
  <c r="G9" i="1"/>
  <c r="G24" i="1"/>
  <c r="G23" i="1"/>
  <c r="G7" i="1"/>
  <c r="G44" i="1"/>
  <c r="G40" i="1"/>
  <c r="G8" i="1"/>
  <c r="G43" i="1"/>
  <c r="G27" i="1"/>
  <c r="G47" i="1"/>
  <c r="G35" i="1"/>
  <c r="G19" i="1"/>
  <c r="G6" i="1"/>
  <c r="G34" i="1"/>
  <c r="G16" i="1"/>
  <c r="H24" i="1"/>
  <c r="G37" i="1"/>
  <c r="H18" i="1"/>
  <c r="G31" i="1"/>
  <c r="H34" i="1"/>
  <c r="I37" i="1"/>
  <c r="H14" i="1"/>
  <c r="I17" i="1"/>
  <c r="G5" i="1"/>
  <c r="H8" i="1"/>
  <c r="I11" i="1"/>
  <c r="G21" i="1"/>
  <c r="H5" i="1"/>
  <c r="G18" i="1"/>
  <c r="I5" i="1"/>
  <c r="G15" i="1"/>
  <c r="H15" i="1"/>
  <c r="G28" i="1"/>
  <c r="H31" i="1"/>
  <c r="I34" i="1"/>
  <c r="H13" i="1"/>
  <c r="I16" i="1"/>
  <c r="H10" i="1"/>
  <c r="I13" i="1"/>
  <c r="G4" i="1"/>
  <c r="G20" i="1"/>
  <c r="H30" i="1"/>
  <c r="H11" i="1"/>
  <c r="I14" i="1"/>
  <c r="H28" i="1"/>
  <c r="G41" i="1"/>
  <c r="H44" i="1"/>
  <c r="H25" i="1"/>
  <c r="H41" i="1"/>
  <c r="G51" i="1"/>
  <c r="H19" i="1"/>
  <c r="H35" i="1"/>
  <c r="I3" i="1"/>
  <c r="G13" i="1"/>
  <c r="H16" i="1"/>
  <c r="G29" i="1"/>
  <c r="H32" i="1"/>
  <c r="H29" i="1"/>
  <c r="H45" i="1"/>
  <c r="I29" i="1"/>
  <c r="H42" i="1"/>
  <c r="H23" i="1"/>
  <c r="G36" i="1"/>
  <c r="H39" i="1"/>
  <c r="G52" i="1"/>
  <c r="H22" i="1"/>
  <c r="H20" i="1"/>
  <c r="G14" i="1"/>
  <c r="I20" i="1"/>
  <c r="H40" i="1"/>
</calcChain>
</file>

<file path=xl/sharedStrings.xml><?xml version="1.0" encoding="utf-8"?>
<sst xmlns="http://schemas.openxmlformats.org/spreadsheetml/2006/main" count="115" uniqueCount="31">
  <si>
    <t>Desempenho por Escola, Ano Escolar e Componente Curricular — CICLO II 2026</t>
  </si>
  <si>
    <t>Escola</t>
  </si>
  <si>
    <t>Ano Escolar</t>
  </si>
  <si>
    <t>Língua Portuguesa (%)</t>
  </si>
  <si>
    <t>Matemática (%)</t>
  </si>
  <si>
    <t>Média Geral (%)</t>
  </si>
  <si>
    <t>Gap LP−Mat (pp)</t>
  </si>
  <si>
    <t>vs Média da Rede (pp)</t>
  </si>
  <si>
    <t>Média da Escola (%)</t>
  </si>
  <si>
    <t>Classificação</t>
  </si>
  <si>
    <t>EEF 21 DE DEZEMBRO</t>
  </si>
  <si>
    <t>8º Ano</t>
  </si>
  <si>
    <t>9º Ano</t>
  </si>
  <si>
    <t>EEF FIRMINO JOSÉ</t>
  </si>
  <si>
    <t>1º Ano</t>
  </si>
  <si>
    <t>2º Ano</t>
  </si>
  <si>
    <t>3º Ano</t>
  </si>
  <si>
    <t>4º Ano</t>
  </si>
  <si>
    <t>5º Ano</t>
  </si>
  <si>
    <t>6º Ano</t>
  </si>
  <si>
    <t>7º Ano</t>
  </si>
  <si>
    <t>EEF FRANCISCO MOURÃO LIMA</t>
  </si>
  <si>
    <t>EEIEF 03 DE DEZEMBRO</t>
  </si>
  <si>
    <t>EEIEF ANTÔNIO DE SOUSA BARROS</t>
  </si>
  <si>
    <t>EEIEF JOSÉ ALVES DE SENA</t>
  </si>
  <si>
    <t>EEIEF MARIA AMÉLIA RODRIGUES DE SOUSA</t>
  </si>
  <si>
    <t>EEIEF JOAQUIM FERREIRA DA SILVA</t>
  </si>
  <si>
    <t>Média Geral da Rede</t>
  </si>
  <si>
    <t>—</t>
  </si>
  <si>
    <t>Base da Rede</t>
  </si>
  <si>
    <t>Habilidades Críticas até 56% (nº)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</si>
</sst>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+0.0;\-0.0;0.0"/>
    <numFmt numFmtId="166" formatCode="0.0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164" fontId="0" fillId="0" borderId="5" xfId="0" applyNumberFormat="1" applyBorder="1" applyAlignment="1">
      <alignment horizontal="right" wrapText="1"/>
    </xf>
    <xf numFmtId="165" fontId="0" fillId="0" borderId="5" xfId="0" applyNumberFormat="1" applyBorder="1" applyAlignment="1">
      <alignment horizontal="right" wrapText="1"/>
    </xf>
    <xf numFmtId="0" fontId="0" fillId="0" borderId="5" xfId="0" applyBorder="1" applyAlignment="1">
      <alignment horizontal="center" wrapText="1"/>
    </xf>
    <xf numFmtId="0" fontId="0" fillId="4" borderId="4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164" fontId="0" fillId="4" borderId="5" xfId="0" applyNumberFormat="1" applyFill="1" applyBorder="1" applyAlignment="1">
      <alignment horizontal="right" wrapText="1"/>
    </xf>
    <xf numFmtId="165" fontId="0" fillId="4" borderId="5" xfId="0" applyNumberFormat="1" applyFill="1" applyBorder="1" applyAlignment="1">
      <alignment horizontal="right" wrapText="1"/>
    </xf>
    <xf numFmtId="0" fontId="0" fillId="4" borderId="5" xfId="0" applyFill="1" applyBorder="1" applyAlignment="1">
      <alignment horizontal="center" wrapText="1"/>
    </xf>
    <xf numFmtId="164" fontId="1" fillId="5" borderId="8" xfId="0" applyNumberFormat="1" applyFont="1" applyFill="1" applyBorder="1" applyAlignment="1">
      <alignment horizontal="right" wrapText="1"/>
    </xf>
    <xf numFmtId="165" fontId="1" fillId="5" borderId="8" xfId="0" applyNumberFormat="1" applyFont="1" applyFill="1" applyBorder="1" applyAlignment="1">
      <alignment horizontal="right" wrapText="1"/>
    </xf>
    <xf numFmtId="0" fontId="1" fillId="5" borderId="8" xfId="0" applyFont="1" applyFill="1" applyBorder="1" applyAlignment="1">
      <alignment horizontal="right" wrapText="1"/>
    </xf>
    <xf numFmtId="0" fontId="1" fillId="5" borderId="8" xfId="0" applyFont="1" applyFill="1" applyBorder="1" applyAlignment="1">
      <alignment horizontal="center" wrapText="1"/>
    </xf>
    <xf numFmtId="1" fontId="0" fillId="0" borderId="6" xfId="0" applyNumberFormat="1" applyBorder="1" applyAlignment="1">
      <alignment horizontal="center" wrapText="1"/>
    </xf>
    <xf numFmtId="1" fontId="0" fillId="4" borderId="6" xfId="0" applyNumberFormat="1" applyFill="1" applyBorder="1" applyAlignment="1">
      <alignment horizontal="center" wrapText="1"/>
    </xf>
    <xf numFmtId="166" fontId="1" fillId="5" borderId="9" xfId="0" applyNumberFormat="1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left"/>
    </xf>
    <xf numFmtId="0" fontId="1" fillId="5" borderId="7" xfId="0" applyFont="1" applyFill="1" applyBorder="1" applyAlignment="1">
      <alignment horizontal="left" wrapText="1"/>
    </xf>
    <xf numFmtId="0" fontId="0" fillId="0" borderId="7" xfId="0" applyBorder="1"/>
  </cellXfs>
  <cellStyles count="1">
    <cellStyle name="Normal" xfId="0" builtinId="0"/>
  </cellStyles>
  <dxfs count="3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0FE"/>
      <rgbColor rgb="FFD0E8F5"/>
      <rgbColor rgb="FF660066"/>
      <rgbColor rgb="FFFF8080"/>
      <rgbColor rgb="FF1D6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D4F7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zoomScaleNormal="100" workbookViewId="0">
      <pane ySplit="2" topLeftCell="A3" activePane="bottomLeft" state="frozen"/>
      <selection pane="bottomLeft" activeCell="J3" sqref="J3:J52"/>
    </sheetView>
  </sheetViews>
  <sheetFormatPr defaultColWidth="8.6640625" defaultRowHeight="14.4" x14ac:dyDescent="0.3"/>
  <cols>
    <col min="1" max="1" width="38.88671875" customWidth="1"/>
    <col min="2" max="2" width="12" customWidth="1"/>
    <col min="3" max="8" width="16.6640625" customWidth="1"/>
    <col min="9" max="9" width="16.6640625" style="1" customWidth="1"/>
    <col min="10" max="10" width="20.33203125" customWidth="1"/>
  </cols>
  <sheetData>
    <row r="1" spans="1:10" ht="18" x14ac:dyDescent="0.3">
      <c r="A1" s="22" t="s">
        <v>0</v>
      </c>
      <c r="B1" s="23"/>
      <c r="C1" s="23"/>
      <c r="D1" s="23"/>
      <c r="E1" s="23"/>
      <c r="F1" s="23"/>
      <c r="G1" s="23"/>
      <c r="H1" s="23"/>
      <c r="I1" s="24"/>
      <c r="J1" s="23"/>
    </row>
    <row r="2" spans="1:10" ht="28.8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30</v>
      </c>
    </row>
    <row r="3" spans="1:10" x14ac:dyDescent="0.3">
      <c r="A3" s="5" t="s">
        <v>10</v>
      </c>
      <c r="B3" s="6" t="s">
        <v>11</v>
      </c>
      <c r="C3" s="7">
        <v>0.79300000000000004</v>
      </c>
      <c r="D3" s="7">
        <v>0.745</v>
      </c>
      <c r="E3" s="7">
        <f t="shared" ref="E3:E34" si="0">ROUND(AVERAGE(C3,D3),3)</f>
        <v>0.76900000000000002</v>
      </c>
      <c r="F3" s="8">
        <f t="shared" ref="F3:F34" si="1">(C3-D3)*100</f>
        <v>4.8000000000000043</v>
      </c>
      <c r="G3" s="8">
        <f t="shared" ref="G3:G34" si="2">(E3-$E$53)*100</f>
        <v>3.6619999999999875</v>
      </c>
      <c r="H3" s="7">
        <f t="shared" ref="H3:H34" si="3">AVERAGEIF($A$3:$A$52,A3,$E$3:$E$52)</f>
        <v>0.76049999999999995</v>
      </c>
      <c r="I3" s="9" t="str">
        <f t="shared" ref="I3:I34" si="4">IF(E3&gt;=70%,"Adequado",IF(E3&gt;=60%,"Regular","Atenção"))</f>
        <v>Adequado</v>
      </c>
      <c r="J3" s="19">
        <v>14</v>
      </c>
    </row>
    <row r="4" spans="1:10" x14ac:dyDescent="0.3">
      <c r="A4" s="10" t="s">
        <v>10</v>
      </c>
      <c r="B4" s="11" t="s">
        <v>12</v>
      </c>
      <c r="C4" s="12">
        <v>0.69299999999999995</v>
      </c>
      <c r="D4" s="12">
        <v>0.81</v>
      </c>
      <c r="E4" s="12">
        <f t="shared" si="0"/>
        <v>0.752</v>
      </c>
      <c r="F4" s="13">
        <f t="shared" si="1"/>
        <v>-11.70000000000001</v>
      </c>
      <c r="G4" s="13">
        <f t="shared" si="2"/>
        <v>1.961999999999986</v>
      </c>
      <c r="H4" s="12">
        <f t="shared" si="3"/>
        <v>0.76049999999999995</v>
      </c>
      <c r="I4" s="14" t="str">
        <f t="shared" si="4"/>
        <v>Adequado</v>
      </c>
      <c r="J4" s="20">
        <v>25</v>
      </c>
    </row>
    <row r="5" spans="1:10" x14ac:dyDescent="0.3">
      <c r="A5" s="5" t="s">
        <v>13</v>
      </c>
      <c r="B5" s="6" t="s">
        <v>14</v>
      </c>
      <c r="C5" s="7">
        <v>0.72299999999999998</v>
      </c>
      <c r="D5" s="7">
        <v>0.58799999999999997</v>
      </c>
      <c r="E5" s="7">
        <f t="shared" si="0"/>
        <v>0.65600000000000003</v>
      </c>
      <c r="F5" s="8">
        <f t="shared" si="1"/>
        <v>13.5</v>
      </c>
      <c r="G5" s="8">
        <f t="shared" si="2"/>
        <v>-7.6380000000000114</v>
      </c>
      <c r="H5" s="7">
        <f t="shared" si="3"/>
        <v>0.71777777777777774</v>
      </c>
      <c r="I5" s="9" t="str">
        <f t="shared" si="4"/>
        <v>Regular</v>
      </c>
      <c r="J5" s="19">
        <v>4</v>
      </c>
    </row>
    <row r="6" spans="1:10" x14ac:dyDescent="0.3">
      <c r="A6" s="10" t="s">
        <v>13</v>
      </c>
      <c r="B6" s="11" t="s">
        <v>15</v>
      </c>
      <c r="C6" s="12">
        <v>0.83</v>
      </c>
      <c r="D6" s="12">
        <v>0.76400000000000001</v>
      </c>
      <c r="E6" s="12">
        <f t="shared" si="0"/>
        <v>0.79700000000000004</v>
      </c>
      <c r="F6" s="13">
        <f t="shared" si="1"/>
        <v>6.5999999999999943</v>
      </c>
      <c r="G6" s="13">
        <f t="shared" si="2"/>
        <v>6.46199999999999</v>
      </c>
      <c r="H6" s="12">
        <f t="shared" si="3"/>
        <v>0.71777777777777774</v>
      </c>
      <c r="I6" s="14" t="str">
        <f t="shared" si="4"/>
        <v>Adequado</v>
      </c>
      <c r="J6" s="20">
        <v>3</v>
      </c>
    </row>
    <row r="7" spans="1:10" x14ac:dyDescent="0.3">
      <c r="A7" s="5" t="s">
        <v>13</v>
      </c>
      <c r="B7" s="6" t="s">
        <v>16</v>
      </c>
      <c r="C7" s="7">
        <v>0.80600000000000005</v>
      </c>
      <c r="D7" s="7">
        <v>0.745</v>
      </c>
      <c r="E7" s="7">
        <f t="shared" si="0"/>
        <v>0.77600000000000002</v>
      </c>
      <c r="F7" s="8">
        <f t="shared" si="1"/>
        <v>6.100000000000005</v>
      </c>
      <c r="G7" s="8">
        <f t="shared" si="2"/>
        <v>4.3619999999999877</v>
      </c>
      <c r="H7" s="7">
        <f t="shared" si="3"/>
        <v>0.71777777777777774</v>
      </c>
      <c r="I7" s="9" t="str">
        <f t="shared" si="4"/>
        <v>Adequado</v>
      </c>
      <c r="J7" s="19">
        <v>1</v>
      </c>
    </row>
    <row r="8" spans="1:10" x14ac:dyDescent="0.3">
      <c r="A8" s="10" t="s">
        <v>13</v>
      </c>
      <c r="B8" s="11" t="s">
        <v>17</v>
      </c>
      <c r="C8" s="12">
        <v>0.64100000000000001</v>
      </c>
      <c r="D8" s="12">
        <v>0.622</v>
      </c>
      <c r="E8" s="12">
        <f t="shared" si="0"/>
        <v>0.63200000000000001</v>
      </c>
      <c r="F8" s="13">
        <f t="shared" si="1"/>
        <v>1.9000000000000017</v>
      </c>
      <c r="G8" s="13">
        <f t="shared" si="2"/>
        <v>-10.038000000000014</v>
      </c>
      <c r="H8" s="12">
        <f t="shared" si="3"/>
        <v>0.71777777777777774</v>
      </c>
      <c r="I8" s="14" t="str">
        <f t="shared" si="4"/>
        <v>Regular</v>
      </c>
      <c r="J8" s="20">
        <v>7</v>
      </c>
    </row>
    <row r="9" spans="1:10" x14ac:dyDescent="0.3">
      <c r="A9" s="5" t="s">
        <v>13</v>
      </c>
      <c r="B9" s="6" t="s">
        <v>18</v>
      </c>
      <c r="C9" s="7">
        <v>0.83799999999999997</v>
      </c>
      <c r="D9" s="7">
        <v>0.76500000000000001</v>
      </c>
      <c r="E9" s="7">
        <f t="shared" si="0"/>
        <v>0.80200000000000005</v>
      </c>
      <c r="F9" s="8">
        <f t="shared" si="1"/>
        <v>7.2999999999999954</v>
      </c>
      <c r="G9" s="8">
        <f t="shared" si="2"/>
        <v>6.9619999999999909</v>
      </c>
      <c r="H9" s="7">
        <f t="shared" si="3"/>
        <v>0.71777777777777774</v>
      </c>
      <c r="I9" s="9" t="str">
        <f t="shared" si="4"/>
        <v>Adequado</v>
      </c>
      <c r="J9" s="19">
        <v>9</v>
      </c>
    </row>
    <row r="10" spans="1:10" x14ac:dyDescent="0.3">
      <c r="A10" s="10" t="s">
        <v>13</v>
      </c>
      <c r="B10" s="11" t="s">
        <v>19</v>
      </c>
      <c r="C10" s="12">
        <v>0.70399999999999996</v>
      </c>
      <c r="D10" s="12">
        <v>0.64100000000000001</v>
      </c>
      <c r="E10" s="12">
        <f t="shared" si="0"/>
        <v>0.67300000000000004</v>
      </c>
      <c r="F10" s="13">
        <f t="shared" si="1"/>
        <v>6.2999999999999945</v>
      </c>
      <c r="G10" s="13">
        <f t="shared" si="2"/>
        <v>-5.9380000000000095</v>
      </c>
      <c r="H10" s="12">
        <f t="shared" si="3"/>
        <v>0.71777777777777774</v>
      </c>
      <c r="I10" s="14" t="str">
        <f t="shared" si="4"/>
        <v>Regular</v>
      </c>
      <c r="J10" s="20">
        <v>4</v>
      </c>
    </row>
    <row r="11" spans="1:10" x14ac:dyDescent="0.3">
      <c r="A11" s="5" t="s">
        <v>13</v>
      </c>
      <c r="B11" s="6" t="s">
        <v>20</v>
      </c>
      <c r="C11" s="7">
        <v>0.66700000000000004</v>
      </c>
      <c r="D11" s="7">
        <v>0.57799999999999996</v>
      </c>
      <c r="E11" s="7">
        <f t="shared" si="0"/>
        <v>0.623</v>
      </c>
      <c r="F11" s="8">
        <f t="shared" si="1"/>
        <v>8.9000000000000075</v>
      </c>
      <c r="G11" s="8">
        <f t="shared" si="2"/>
        <v>-10.938000000000015</v>
      </c>
      <c r="H11" s="7">
        <f t="shared" si="3"/>
        <v>0.71777777777777774</v>
      </c>
      <c r="I11" s="9" t="str">
        <f t="shared" si="4"/>
        <v>Regular</v>
      </c>
      <c r="J11" s="19">
        <v>13</v>
      </c>
    </row>
    <row r="12" spans="1:10" x14ac:dyDescent="0.3">
      <c r="A12" s="10" t="s">
        <v>13</v>
      </c>
      <c r="B12" s="11" t="s">
        <v>11</v>
      </c>
      <c r="C12" s="12">
        <v>0.67300000000000004</v>
      </c>
      <c r="D12" s="12">
        <v>0.72799999999999998</v>
      </c>
      <c r="E12" s="12">
        <f t="shared" si="0"/>
        <v>0.70099999999999996</v>
      </c>
      <c r="F12" s="13">
        <f t="shared" si="1"/>
        <v>-5.4999999999999938</v>
      </c>
      <c r="G12" s="13">
        <f t="shared" si="2"/>
        <v>-3.1380000000000186</v>
      </c>
      <c r="H12" s="12">
        <f t="shared" si="3"/>
        <v>0.71777777777777774</v>
      </c>
      <c r="I12" s="14" t="str">
        <f t="shared" si="4"/>
        <v>Adequado</v>
      </c>
      <c r="J12" s="20">
        <v>14</v>
      </c>
    </row>
    <row r="13" spans="1:10" x14ac:dyDescent="0.3">
      <c r="A13" s="5" t="s">
        <v>13</v>
      </c>
      <c r="B13" s="6" t="s">
        <v>12</v>
      </c>
      <c r="C13" s="7">
        <v>0.78100000000000003</v>
      </c>
      <c r="D13" s="7">
        <v>0.81799999999999995</v>
      </c>
      <c r="E13" s="7">
        <f t="shared" si="0"/>
        <v>0.8</v>
      </c>
      <c r="F13" s="8">
        <f t="shared" si="1"/>
        <v>-3.6999999999999922</v>
      </c>
      <c r="G13" s="8">
        <f t="shared" si="2"/>
        <v>6.7619999999999898</v>
      </c>
      <c r="H13" s="7">
        <f t="shared" si="3"/>
        <v>0.71777777777777774</v>
      </c>
      <c r="I13" s="9" t="str">
        <f t="shared" si="4"/>
        <v>Adequado</v>
      </c>
      <c r="J13" s="19">
        <v>25</v>
      </c>
    </row>
    <row r="14" spans="1:10" x14ac:dyDescent="0.3">
      <c r="A14" s="10" t="s">
        <v>21</v>
      </c>
      <c r="B14" s="11" t="s">
        <v>14</v>
      </c>
      <c r="C14" s="12">
        <v>0.69399999999999995</v>
      </c>
      <c r="D14" s="12">
        <v>0.71299999999999997</v>
      </c>
      <c r="E14" s="12">
        <f t="shared" si="0"/>
        <v>0.70399999999999996</v>
      </c>
      <c r="F14" s="13">
        <f t="shared" si="1"/>
        <v>-1.9000000000000017</v>
      </c>
      <c r="G14" s="13">
        <f t="shared" si="2"/>
        <v>-2.8380000000000183</v>
      </c>
      <c r="H14" s="12">
        <f t="shared" si="3"/>
        <v>0.6512</v>
      </c>
      <c r="I14" s="14" t="str">
        <f t="shared" si="4"/>
        <v>Adequado</v>
      </c>
      <c r="J14" s="20">
        <v>4</v>
      </c>
    </row>
    <row r="15" spans="1:10" x14ac:dyDescent="0.3">
      <c r="A15" s="5" t="s">
        <v>21</v>
      </c>
      <c r="B15" s="6" t="s">
        <v>15</v>
      </c>
      <c r="C15" s="7">
        <v>0.69299999999999995</v>
      </c>
      <c r="D15" s="7">
        <v>0.63800000000000001</v>
      </c>
      <c r="E15" s="7">
        <f t="shared" si="0"/>
        <v>0.66600000000000004</v>
      </c>
      <c r="F15" s="8">
        <f t="shared" si="1"/>
        <v>5.4999999999999938</v>
      </c>
      <c r="G15" s="8">
        <f t="shared" si="2"/>
        <v>-6.6380000000000106</v>
      </c>
      <c r="H15" s="7">
        <f t="shared" si="3"/>
        <v>0.6512</v>
      </c>
      <c r="I15" s="9" t="str">
        <f t="shared" si="4"/>
        <v>Regular</v>
      </c>
      <c r="J15" s="19">
        <v>4</v>
      </c>
    </row>
    <row r="16" spans="1:10" x14ac:dyDescent="0.3">
      <c r="A16" s="10" t="s">
        <v>21</v>
      </c>
      <c r="B16" s="11" t="s">
        <v>16</v>
      </c>
      <c r="C16" s="12">
        <v>0.67200000000000004</v>
      </c>
      <c r="D16" s="12">
        <v>0.71099999999999997</v>
      </c>
      <c r="E16" s="12">
        <f t="shared" si="0"/>
        <v>0.69199999999999995</v>
      </c>
      <c r="F16" s="13">
        <f t="shared" si="1"/>
        <v>-3.8999999999999924</v>
      </c>
      <c r="G16" s="13">
        <f t="shared" si="2"/>
        <v>-4.0380000000000198</v>
      </c>
      <c r="H16" s="12">
        <f t="shared" si="3"/>
        <v>0.6512</v>
      </c>
      <c r="I16" s="14" t="str">
        <f t="shared" si="4"/>
        <v>Regular</v>
      </c>
      <c r="J16" s="20">
        <v>2</v>
      </c>
    </row>
    <row r="17" spans="1:10" x14ac:dyDescent="0.3">
      <c r="A17" s="5" t="s">
        <v>21</v>
      </c>
      <c r="B17" s="6" t="s">
        <v>17</v>
      </c>
      <c r="C17" s="7">
        <v>0.60299999999999998</v>
      </c>
      <c r="D17" s="7">
        <v>0.625</v>
      </c>
      <c r="E17" s="7">
        <f t="shared" si="0"/>
        <v>0.61399999999999999</v>
      </c>
      <c r="F17" s="8">
        <f t="shared" si="1"/>
        <v>-2.200000000000002</v>
      </c>
      <c r="G17" s="8">
        <f t="shared" si="2"/>
        <v>-11.838000000000015</v>
      </c>
      <c r="H17" s="7">
        <f t="shared" si="3"/>
        <v>0.6512</v>
      </c>
      <c r="I17" s="9" t="str">
        <f t="shared" si="4"/>
        <v>Regular</v>
      </c>
      <c r="J17" s="19">
        <v>6</v>
      </c>
    </row>
    <row r="18" spans="1:10" x14ac:dyDescent="0.3">
      <c r="A18" s="10" t="s">
        <v>21</v>
      </c>
      <c r="B18" s="11" t="s">
        <v>18</v>
      </c>
      <c r="C18" s="12">
        <v>0.59</v>
      </c>
      <c r="D18" s="12">
        <v>0.56899999999999995</v>
      </c>
      <c r="E18" s="12">
        <f t="shared" si="0"/>
        <v>0.57999999999999996</v>
      </c>
      <c r="F18" s="13">
        <f t="shared" si="1"/>
        <v>2.1000000000000019</v>
      </c>
      <c r="G18" s="13">
        <f t="shared" si="2"/>
        <v>-15.238000000000017</v>
      </c>
      <c r="H18" s="12">
        <f t="shared" si="3"/>
        <v>0.6512</v>
      </c>
      <c r="I18" s="14" t="str">
        <f t="shared" si="4"/>
        <v>Atenção</v>
      </c>
      <c r="J18" s="20">
        <v>10</v>
      </c>
    </row>
    <row r="19" spans="1:10" x14ac:dyDescent="0.3">
      <c r="A19" s="5" t="s">
        <v>22</v>
      </c>
      <c r="B19" s="6" t="s">
        <v>14</v>
      </c>
      <c r="C19" s="7">
        <v>0.78600000000000003</v>
      </c>
      <c r="D19" s="7">
        <v>0.81200000000000006</v>
      </c>
      <c r="E19" s="7">
        <f t="shared" si="0"/>
        <v>0.79900000000000004</v>
      </c>
      <c r="F19" s="8">
        <f t="shared" si="1"/>
        <v>-2.6000000000000023</v>
      </c>
      <c r="G19" s="8">
        <f t="shared" si="2"/>
        <v>6.6619999999999902</v>
      </c>
      <c r="H19" s="7">
        <f t="shared" si="3"/>
        <v>0.7891111111111111</v>
      </c>
      <c r="I19" s="9" t="str">
        <f t="shared" si="4"/>
        <v>Adequado</v>
      </c>
      <c r="J19" s="19">
        <v>0</v>
      </c>
    </row>
    <row r="20" spans="1:10" x14ac:dyDescent="0.3">
      <c r="A20" s="10" t="s">
        <v>22</v>
      </c>
      <c r="B20" s="11" t="s">
        <v>15</v>
      </c>
      <c r="C20" s="12">
        <v>0.83499999999999996</v>
      </c>
      <c r="D20" s="12">
        <v>0.85699999999999998</v>
      </c>
      <c r="E20" s="12">
        <f t="shared" si="0"/>
        <v>0.84599999999999997</v>
      </c>
      <c r="F20" s="13">
        <f t="shared" si="1"/>
        <v>-2.200000000000002</v>
      </c>
      <c r="G20" s="13">
        <f t="shared" si="2"/>
        <v>11.361999999999984</v>
      </c>
      <c r="H20" s="12">
        <f t="shared" si="3"/>
        <v>0.7891111111111111</v>
      </c>
      <c r="I20" s="14" t="str">
        <f t="shared" si="4"/>
        <v>Adequado</v>
      </c>
      <c r="J20" s="20">
        <v>1</v>
      </c>
    </row>
    <row r="21" spans="1:10" x14ac:dyDescent="0.3">
      <c r="A21" s="5" t="s">
        <v>22</v>
      </c>
      <c r="B21" s="6" t="s">
        <v>16</v>
      </c>
      <c r="C21" s="7">
        <v>0.74099999999999999</v>
      </c>
      <c r="D21" s="7">
        <v>0.79</v>
      </c>
      <c r="E21" s="7">
        <f t="shared" si="0"/>
        <v>0.76600000000000001</v>
      </c>
      <c r="F21" s="8">
        <f t="shared" si="1"/>
        <v>-4.9000000000000039</v>
      </c>
      <c r="G21" s="8">
        <f t="shared" si="2"/>
        <v>3.3619999999999872</v>
      </c>
      <c r="H21" s="7">
        <f t="shared" si="3"/>
        <v>0.7891111111111111</v>
      </c>
      <c r="I21" s="9" t="str">
        <f t="shared" si="4"/>
        <v>Adequado</v>
      </c>
      <c r="J21" s="19">
        <v>0</v>
      </c>
    </row>
    <row r="22" spans="1:10" x14ac:dyDescent="0.3">
      <c r="A22" s="10" t="s">
        <v>22</v>
      </c>
      <c r="B22" s="11" t="s">
        <v>17</v>
      </c>
      <c r="C22" s="12">
        <v>0.82399999999999995</v>
      </c>
      <c r="D22" s="12">
        <v>0.73399999999999999</v>
      </c>
      <c r="E22" s="12">
        <f t="shared" si="0"/>
        <v>0.77900000000000003</v>
      </c>
      <c r="F22" s="13">
        <f t="shared" si="1"/>
        <v>8.9999999999999964</v>
      </c>
      <c r="G22" s="13">
        <f t="shared" si="2"/>
        <v>4.6619999999999884</v>
      </c>
      <c r="H22" s="12">
        <f t="shared" si="3"/>
        <v>0.7891111111111111</v>
      </c>
      <c r="I22" s="14" t="str">
        <f t="shared" si="4"/>
        <v>Adequado</v>
      </c>
      <c r="J22" s="20">
        <v>2</v>
      </c>
    </row>
    <row r="23" spans="1:10" x14ac:dyDescent="0.3">
      <c r="A23" s="5" t="s">
        <v>22</v>
      </c>
      <c r="B23" s="6" t="s">
        <v>18</v>
      </c>
      <c r="C23" s="7">
        <v>0.77200000000000002</v>
      </c>
      <c r="D23" s="7">
        <v>0.78700000000000003</v>
      </c>
      <c r="E23" s="7">
        <f t="shared" si="0"/>
        <v>0.78</v>
      </c>
      <c r="F23" s="8">
        <f t="shared" si="1"/>
        <v>-1.5000000000000013</v>
      </c>
      <c r="G23" s="8">
        <f t="shared" si="2"/>
        <v>4.761999999999988</v>
      </c>
      <c r="H23" s="7">
        <f t="shared" si="3"/>
        <v>0.7891111111111111</v>
      </c>
      <c r="I23" s="9" t="str">
        <f t="shared" si="4"/>
        <v>Adequado</v>
      </c>
      <c r="J23" s="19">
        <v>8</v>
      </c>
    </row>
    <row r="24" spans="1:10" x14ac:dyDescent="0.3">
      <c r="A24" s="10" t="s">
        <v>22</v>
      </c>
      <c r="B24" s="11" t="s">
        <v>19</v>
      </c>
      <c r="C24" s="12">
        <v>0.79800000000000004</v>
      </c>
      <c r="D24" s="12">
        <v>0.77300000000000002</v>
      </c>
      <c r="E24" s="12">
        <f t="shared" si="0"/>
        <v>0.78600000000000003</v>
      </c>
      <c r="F24" s="13">
        <f t="shared" si="1"/>
        <v>2.5000000000000022</v>
      </c>
      <c r="G24" s="13">
        <f t="shared" si="2"/>
        <v>5.3619999999999894</v>
      </c>
      <c r="H24" s="12">
        <f t="shared" si="3"/>
        <v>0.7891111111111111</v>
      </c>
      <c r="I24" s="14" t="str">
        <f t="shared" si="4"/>
        <v>Adequado</v>
      </c>
      <c r="J24" s="20">
        <v>5</v>
      </c>
    </row>
    <row r="25" spans="1:10" x14ac:dyDescent="0.3">
      <c r="A25" s="5" t="s">
        <v>22</v>
      </c>
      <c r="B25" s="6" t="s">
        <v>20</v>
      </c>
      <c r="C25" s="7">
        <v>0.82799999999999996</v>
      </c>
      <c r="D25" s="7">
        <v>0.83799999999999997</v>
      </c>
      <c r="E25" s="7">
        <f t="shared" si="0"/>
        <v>0.83299999999999996</v>
      </c>
      <c r="F25" s="8">
        <f t="shared" si="1"/>
        <v>-1.0000000000000009</v>
      </c>
      <c r="G25" s="8">
        <f t="shared" si="2"/>
        <v>10.061999999999982</v>
      </c>
      <c r="H25" s="7">
        <f t="shared" si="3"/>
        <v>0.7891111111111111</v>
      </c>
      <c r="I25" s="9" t="str">
        <f t="shared" si="4"/>
        <v>Adequado</v>
      </c>
      <c r="J25" s="19">
        <v>12</v>
      </c>
    </row>
    <row r="26" spans="1:10" x14ac:dyDescent="0.3">
      <c r="A26" s="10" t="s">
        <v>22</v>
      </c>
      <c r="B26" s="11" t="s">
        <v>11</v>
      </c>
      <c r="C26" s="12">
        <v>0.73599999999999999</v>
      </c>
      <c r="D26" s="12">
        <v>0.79900000000000004</v>
      </c>
      <c r="E26" s="12">
        <f t="shared" si="0"/>
        <v>0.76800000000000002</v>
      </c>
      <c r="F26" s="13">
        <f t="shared" si="1"/>
        <v>-6.300000000000006</v>
      </c>
      <c r="G26" s="13">
        <f t="shared" si="2"/>
        <v>3.5619999999999874</v>
      </c>
      <c r="H26" s="12">
        <f t="shared" si="3"/>
        <v>0.7891111111111111</v>
      </c>
      <c r="I26" s="14" t="str">
        <f t="shared" si="4"/>
        <v>Adequado</v>
      </c>
      <c r="J26" s="20">
        <v>15</v>
      </c>
    </row>
    <row r="27" spans="1:10" x14ac:dyDescent="0.3">
      <c r="A27" s="5" t="s">
        <v>22</v>
      </c>
      <c r="B27" s="6" t="s">
        <v>12</v>
      </c>
      <c r="C27" s="7">
        <v>0.75600000000000001</v>
      </c>
      <c r="D27" s="7">
        <v>0.73299999999999998</v>
      </c>
      <c r="E27" s="7">
        <f t="shared" si="0"/>
        <v>0.745</v>
      </c>
      <c r="F27" s="8">
        <f t="shared" si="1"/>
        <v>2.300000000000002</v>
      </c>
      <c r="G27" s="8">
        <f t="shared" si="2"/>
        <v>1.2619999999999854</v>
      </c>
      <c r="H27" s="7">
        <f t="shared" si="3"/>
        <v>0.7891111111111111</v>
      </c>
      <c r="I27" s="9" t="str">
        <f t="shared" si="4"/>
        <v>Adequado</v>
      </c>
      <c r="J27" s="19">
        <v>25</v>
      </c>
    </row>
    <row r="28" spans="1:10" x14ac:dyDescent="0.3">
      <c r="A28" s="10" t="s">
        <v>23</v>
      </c>
      <c r="B28" s="11" t="s">
        <v>14</v>
      </c>
      <c r="C28" s="12">
        <v>0.84099999999999997</v>
      </c>
      <c r="D28" s="12">
        <v>0.82599999999999996</v>
      </c>
      <c r="E28" s="12">
        <f t="shared" si="0"/>
        <v>0.83399999999999996</v>
      </c>
      <c r="F28" s="13">
        <f t="shared" si="1"/>
        <v>1.5000000000000013</v>
      </c>
      <c r="G28" s="13">
        <f t="shared" si="2"/>
        <v>10.161999999999981</v>
      </c>
      <c r="H28" s="12">
        <f t="shared" si="3"/>
        <v>0.70788888888888879</v>
      </c>
      <c r="I28" s="14" t="str">
        <f t="shared" si="4"/>
        <v>Adequado</v>
      </c>
      <c r="J28" s="20">
        <v>2</v>
      </c>
    </row>
    <row r="29" spans="1:10" x14ac:dyDescent="0.3">
      <c r="A29" s="5" t="s">
        <v>23</v>
      </c>
      <c r="B29" s="6" t="s">
        <v>15</v>
      </c>
      <c r="C29" s="7">
        <v>0.79800000000000004</v>
      </c>
      <c r="D29" s="7">
        <v>0.79900000000000004</v>
      </c>
      <c r="E29" s="7">
        <f t="shared" si="0"/>
        <v>0.79900000000000004</v>
      </c>
      <c r="F29" s="8">
        <f t="shared" si="1"/>
        <v>-0.10000000000000009</v>
      </c>
      <c r="G29" s="8">
        <f t="shared" si="2"/>
        <v>6.6619999999999902</v>
      </c>
      <c r="H29" s="7">
        <f t="shared" si="3"/>
        <v>0.70788888888888879</v>
      </c>
      <c r="I29" s="9" t="str">
        <f t="shared" si="4"/>
        <v>Adequado</v>
      </c>
      <c r="J29" s="19">
        <v>2</v>
      </c>
    </row>
    <row r="30" spans="1:10" x14ac:dyDescent="0.3">
      <c r="A30" s="10" t="s">
        <v>23</v>
      </c>
      <c r="B30" s="11" t="s">
        <v>16</v>
      </c>
      <c r="C30" s="12">
        <v>0.57599999999999996</v>
      </c>
      <c r="D30" s="12">
        <v>0.624</v>
      </c>
      <c r="E30" s="12">
        <f t="shared" si="0"/>
        <v>0.6</v>
      </c>
      <c r="F30" s="13">
        <f t="shared" si="1"/>
        <v>-4.8000000000000043</v>
      </c>
      <c r="G30" s="13">
        <f t="shared" si="2"/>
        <v>-13.238000000000017</v>
      </c>
      <c r="H30" s="12">
        <f t="shared" si="3"/>
        <v>0.70788888888888879</v>
      </c>
      <c r="I30" s="14" t="str">
        <f t="shared" si="4"/>
        <v>Regular</v>
      </c>
      <c r="J30" s="20">
        <v>1</v>
      </c>
    </row>
    <row r="31" spans="1:10" x14ac:dyDescent="0.3">
      <c r="A31" s="5" t="s">
        <v>23</v>
      </c>
      <c r="B31" s="6" t="s">
        <v>17</v>
      </c>
      <c r="C31" s="7">
        <v>0.82299999999999995</v>
      </c>
      <c r="D31" s="7">
        <v>0.82899999999999996</v>
      </c>
      <c r="E31" s="7">
        <f t="shared" si="0"/>
        <v>0.82599999999999996</v>
      </c>
      <c r="F31" s="8">
        <f t="shared" si="1"/>
        <v>-0.60000000000000053</v>
      </c>
      <c r="G31" s="8">
        <f t="shared" si="2"/>
        <v>9.3619999999999806</v>
      </c>
      <c r="H31" s="7">
        <f t="shared" si="3"/>
        <v>0.70788888888888879</v>
      </c>
      <c r="I31" s="9" t="str">
        <f t="shared" si="4"/>
        <v>Adequado</v>
      </c>
      <c r="J31" s="19">
        <v>5</v>
      </c>
    </row>
    <row r="32" spans="1:10" x14ac:dyDescent="0.3">
      <c r="A32" s="10" t="s">
        <v>23</v>
      </c>
      <c r="B32" s="11" t="s">
        <v>18</v>
      </c>
      <c r="C32" s="12">
        <v>0.56799999999999995</v>
      </c>
      <c r="D32" s="12">
        <v>0.72299999999999998</v>
      </c>
      <c r="E32" s="12">
        <f t="shared" si="0"/>
        <v>0.64600000000000002</v>
      </c>
      <c r="F32" s="13">
        <f t="shared" si="1"/>
        <v>-15.500000000000004</v>
      </c>
      <c r="G32" s="13">
        <f t="shared" si="2"/>
        <v>-8.6380000000000123</v>
      </c>
      <c r="H32" s="12">
        <f t="shared" si="3"/>
        <v>0.70788888888888879</v>
      </c>
      <c r="I32" s="14" t="str">
        <f t="shared" si="4"/>
        <v>Regular</v>
      </c>
      <c r="J32" s="20">
        <v>9</v>
      </c>
    </row>
    <row r="33" spans="1:10" x14ac:dyDescent="0.3">
      <c r="A33" s="5" t="s">
        <v>23</v>
      </c>
      <c r="B33" s="6" t="s">
        <v>19</v>
      </c>
      <c r="C33" s="7">
        <v>0.621</v>
      </c>
      <c r="D33" s="7">
        <v>0.52100000000000002</v>
      </c>
      <c r="E33" s="7">
        <f t="shared" si="0"/>
        <v>0.57099999999999995</v>
      </c>
      <c r="F33" s="8">
        <f t="shared" si="1"/>
        <v>9.9999999999999982</v>
      </c>
      <c r="G33" s="8">
        <f t="shared" si="2"/>
        <v>-16.138000000000019</v>
      </c>
      <c r="H33" s="7">
        <f t="shared" si="3"/>
        <v>0.70788888888888879</v>
      </c>
      <c r="I33" s="9" t="str">
        <f t="shared" si="4"/>
        <v>Atenção</v>
      </c>
      <c r="J33" s="19">
        <v>5</v>
      </c>
    </row>
    <row r="34" spans="1:10" x14ac:dyDescent="0.3">
      <c r="A34" s="10" t="s">
        <v>23</v>
      </c>
      <c r="B34" s="11" t="s">
        <v>20</v>
      </c>
      <c r="C34" s="12">
        <v>0.82399999999999995</v>
      </c>
      <c r="D34" s="12">
        <v>0.83</v>
      </c>
      <c r="E34" s="12">
        <f t="shared" si="0"/>
        <v>0.82699999999999996</v>
      </c>
      <c r="F34" s="13">
        <f t="shared" si="1"/>
        <v>-0.60000000000000053</v>
      </c>
      <c r="G34" s="13">
        <f t="shared" si="2"/>
        <v>9.461999999999982</v>
      </c>
      <c r="H34" s="12">
        <f t="shared" si="3"/>
        <v>0.70788888888888879</v>
      </c>
      <c r="I34" s="14" t="str">
        <f t="shared" si="4"/>
        <v>Adequado</v>
      </c>
      <c r="J34" s="20">
        <v>15</v>
      </c>
    </row>
    <row r="35" spans="1:10" x14ac:dyDescent="0.3">
      <c r="A35" s="5" t="s">
        <v>23</v>
      </c>
      <c r="B35" s="6" t="s">
        <v>11</v>
      </c>
      <c r="C35" s="7">
        <v>0.60199999999999998</v>
      </c>
      <c r="D35" s="7">
        <v>0.63600000000000001</v>
      </c>
      <c r="E35" s="7">
        <f t="shared" ref="E35:E52" si="5">ROUND(AVERAGE(C35,D35),3)</f>
        <v>0.61899999999999999</v>
      </c>
      <c r="F35" s="8">
        <f t="shared" ref="F35:F53" si="6">(C35-D35)*100</f>
        <v>-3.400000000000003</v>
      </c>
      <c r="G35" s="8">
        <f t="shared" ref="G35:G52" si="7">(E35-$E$53)*100</f>
        <v>-11.338000000000015</v>
      </c>
      <c r="H35" s="7">
        <f t="shared" ref="H35:H52" si="8">AVERAGEIF($A$3:$A$52,A35,$E$3:$E$52)</f>
        <v>0.70788888888888879</v>
      </c>
      <c r="I35" s="9" t="str">
        <f t="shared" ref="I35:I52" si="9">IF(E35&gt;=70%,"Adequado",IF(E35&gt;=60%,"Regular","Atenção"))</f>
        <v>Regular</v>
      </c>
      <c r="J35" s="19">
        <v>14</v>
      </c>
    </row>
    <row r="36" spans="1:10" x14ac:dyDescent="0.3">
      <c r="A36" s="10" t="s">
        <v>23</v>
      </c>
      <c r="B36" s="11" t="s">
        <v>12</v>
      </c>
      <c r="C36" s="12">
        <v>0.66200000000000003</v>
      </c>
      <c r="D36" s="12">
        <v>0.63500000000000001</v>
      </c>
      <c r="E36" s="12">
        <f t="shared" si="5"/>
        <v>0.64900000000000002</v>
      </c>
      <c r="F36" s="13">
        <f t="shared" si="6"/>
        <v>2.7000000000000024</v>
      </c>
      <c r="G36" s="13">
        <f t="shared" si="7"/>
        <v>-8.3380000000000116</v>
      </c>
      <c r="H36" s="12">
        <f t="shared" si="8"/>
        <v>0.70788888888888879</v>
      </c>
      <c r="I36" s="14" t="str">
        <f t="shared" si="9"/>
        <v>Regular</v>
      </c>
      <c r="J36" s="20">
        <v>27</v>
      </c>
    </row>
    <row r="37" spans="1:10" x14ac:dyDescent="0.3">
      <c r="A37" s="5" t="s">
        <v>24</v>
      </c>
      <c r="B37" s="6" t="s">
        <v>14</v>
      </c>
      <c r="C37" s="7">
        <v>0.79900000000000004</v>
      </c>
      <c r="D37" s="7">
        <v>0.69199999999999995</v>
      </c>
      <c r="E37" s="7">
        <f t="shared" si="5"/>
        <v>0.746</v>
      </c>
      <c r="F37" s="8">
        <f t="shared" si="6"/>
        <v>10.70000000000001</v>
      </c>
      <c r="G37" s="8">
        <f t="shared" si="7"/>
        <v>1.3619999999999854</v>
      </c>
      <c r="H37" s="7">
        <f t="shared" si="8"/>
        <v>0.75822222222222235</v>
      </c>
      <c r="I37" s="9" t="str">
        <f t="shared" si="9"/>
        <v>Adequado</v>
      </c>
      <c r="J37" s="19">
        <v>4</v>
      </c>
    </row>
    <row r="38" spans="1:10" x14ac:dyDescent="0.3">
      <c r="A38" s="10" t="s">
        <v>24</v>
      </c>
      <c r="B38" s="11" t="s">
        <v>15</v>
      </c>
      <c r="C38" s="12">
        <v>0.82699999999999996</v>
      </c>
      <c r="D38" s="12">
        <v>0.82599999999999996</v>
      </c>
      <c r="E38" s="12">
        <f t="shared" si="5"/>
        <v>0.82699999999999996</v>
      </c>
      <c r="F38" s="13">
        <f t="shared" si="6"/>
        <v>0.10000000000000009</v>
      </c>
      <c r="G38" s="13">
        <f t="shared" si="7"/>
        <v>9.461999999999982</v>
      </c>
      <c r="H38" s="12">
        <f t="shared" si="8"/>
        <v>0.75822222222222235</v>
      </c>
      <c r="I38" s="14" t="str">
        <f t="shared" si="9"/>
        <v>Adequado</v>
      </c>
      <c r="J38" s="20">
        <v>6</v>
      </c>
    </row>
    <row r="39" spans="1:10" x14ac:dyDescent="0.3">
      <c r="A39" s="5" t="s">
        <v>24</v>
      </c>
      <c r="B39" s="6" t="s">
        <v>16</v>
      </c>
      <c r="C39" s="7">
        <v>0.77</v>
      </c>
      <c r="D39" s="7">
        <v>0.85199999999999998</v>
      </c>
      <c r="E39" s="7">
        <f t="shared" si="5"/>
        <v>0.81100000000000005</v>
      </c>
      <c r="F39" s="8">
        <f t="shared" si="6"/>
        <v>-8.1999999999999957</v>
      </c>
      <c r="G39" s="8">
        <f t="shared" si="7"/>
        <v>7.8619999999999912</v>
      </c>
      <c r="H39" s="7">
        <f t="shared" si="8"/>
        <v>0.75822222222222235</v>
      </c>
      <c r="I39" s="9" t="str">
        <f t="shared" si="9"/>
        <v>Adequado</v>
      </c>
      <c r="J39" s="19">
        <v>1</v>
      </c>
    </row>
    <row r="40" spans="1:10" x14ac:dyDescent="0.3">
      <c r="A40" s="10" t="s">
        <v>24</v>
      </c>
      <c r="B40" s="11" t="s">
        <v>17</v>
      </c>
      <c r="C40" s="12">
        <v>0.70299999999999996</v>
      </c>
      <c r="D40" s="12">
        <v>0.84499999999999997</v>
      </c>
      <c r="E40" s="12">
        <f t="shared" si="5"/>
        <v>0.77400000000000002</v>
      </c>
      <c r="F40" s="13">
        <f t="shared" si="6"/>
        <v>-14.200000000000001</v>
      </c>
      <c r="G40" s="13">
        <f t="shared" si="7"/>
        <v>4.1619999999999884</v>
      </c>
      <c r="H40" s="12">
        <f t="shared" si="8"/>
        <v>0.75822222222222235</v>
      </c>
      <c r="I40" s="14" t="str">
        <f t="shared" si="9"/>
        <v>Adequado</v>
      </c>
      <c r="J40" s="20">
        <v>5</v>
      </c>
    </row>
    <row r="41" spans="1:10" x14ac:dyDescent="0.3">
      <c r="A41" s="5" t="s">
        <v>24</v>
      </c>
      <c r="B41" s="6" t="s">
        <v>18</v>
      </c>
      <c r="C41" s="7">
        <v>0.63400000000000001</v>
      </c>
      <c r="D41" s="7">
        <v>0.72199999999999998</v>
      </c>
      <c r="E41" s="7">
        <f t="shared" si="5"/>
        <v>0.67800000000000005</v>
      </c>
      <c r="F41" s="8">
        <f t="shared" si="6"/>
        <v>-8.7999999999999972</v>
      </c>
      <c r="G41" s="8">
        <f t="shared" si="7"/>
        <v>-5.4380000000000095</v>
      </c>
      <c r="H41" s="7">
        <f t="shared" si="8"/>
        <v>0.75822222222222235</v>
      </c>
      <c r="I41" s="9" t="str">
        <f t="shared" si="9"/>
        <v>Regular</v>
      </c>
      <c r="J41" s="19">
        <v>10</v>
      </c>
    </row>
    <row r="42" spans="1:10" x14ac:dyDescent="0.3">
      <c r="A42" s="10" t="s">
        <v>24</v>
      </c>
      <c r="B42" s="11" t="s">
        <v>19</v>
      </c>
      <c r="C42" s="12">
        <v>0.86</v>
      </c>
      <c r="D42" s="12">
        <v>0.67200000000000004</v>
      </c>
      <c r="E42" s="12">
        <f t="shared" si="5"/>
        <v>0.76600000000000001</v>
      </c>
      <c r="F42" s="13">
        <f t="shared" si="6"/>
        <v>18.799999999999994</v>
      </c>
      <c r="G42" s="13">
        <f t="shared" si="7"/>
        <v>3.3619999999999872</v>
      </c>
      <c r="H42" s="12">
        <f t="shared" si="8"/>
        <v>0.75822222222222235</v>
      </c>
      <c r="I42" s="14" t="str">
        <f t="shared" si="9"/>
        <v>Adequado</v>
      </c>
      <c r="J42" s="20">
        <v>6</v>
      </c>
    </row>
    <row r="43" spans="1:10" x14ac:dyDescent="0.3">
      <c r="A43" s="5" t="s">
        <v>24</v>
      </c>
      <c r="B43" s="6" t="s">
        <v>20</v>
      </c>
      <c r="C43" s="7">
        <v>0.84699999999999998</v>
      </c>
      <c r="D43" s="7">
        <v>0.84799999999999998</v>
      </c>
      <c r="E43" s="7">
        <f t="shared" si="5"/>
        <v>0.84799999999999998</v>
      </c>
      <c r="F43" s="8">
        <f t="shared" si="6"/>
        <v>-0.10000000000000009</v>
      </c>
      <c r="G43" s="8">
        <f t="shared" si="7"/>
        <v>11.561999999999983</v>
      </c>
      <c r="H43" s="7">
        <f t="shared" si="8"/>
        <v>0.75822222222222235</v>
      </c>
      <c r="I43" s="9" t="str">
        <f t="shared" si="9"/>
        <v>Adequado</v>
      </c>
      <c r="J43" s="19">
        <v>15</v>
      </c>
    </row>
    <row r="44" spans="1:10" x14ac:dyDescent="0.3">
      <c r="A44" s="10" t="s">
        <v>24</v>
      </c>
      <c r="B44" s="11" t="s">
        <v>11</v>
      </c>
      <c r="C44" s="12">
        <v>0.72799999999999998</v>
      </c>
      <c r="D44" s="12">
        <v>0.67200000000000004</v>
      </c>
      <c r="E44" s="12">
        <f t="shared" si="5"/>
        <v>0.7</v>
      </c>
      <c r="F44" s="13">
        <f t="shared" si="6"/>
        <v>5.5999999999999943</v>
      </c>
      <c r="G44" s="13">
        <f t="shared" si="7"/>
        <v>-3.2380000000000186</v>
      </c>
      <c r="H44" s="12">
        <f t="shared" si="8"/>
        <v>0.75822222222222235</v>
      </c>
      <c r="I44" s="14" t="str">
        <f t="shared" si="9"/>
        <v>Adequado</v>
      </c>
      <c r="J44" s="20">
        <v>15</v>
      </c>
    </row>
    <row r="45" spans="1:10" x14ac:dyDescent="0.3">
      <c r="A45" s="5" t="s">
        <v>24</v>
      </c>
      <c r="B45" s="6" t="s">
        <v>12</v>
      </c>
      <c r="C45" s="7">
        <v>0.69799999999999995</v>
      </c>
      <c r="D45" s="7">
        <v>0.65</v>
      </c>
      <c r="E45" s="7">
        <f t="shared" si="5"/>
        <v>0.67400000000000004</v>
      </c>
      <c r="F45" s="8">
        <f t="shared" si="6"/>
        <v>4.7999999999999936</v>
      </c>
      <c r="G45" s="8">
        <f t="shared" si="7"/>
        <v>-5.8380000000000098</v>
      </c>
      <c r="H45" s="7">
        <f t="shared" si="8"/>
        <v>0.75822222222222235</v>
      </c>
      <c r="I45" s="9" t="str">
        <f t="shared" si="9"/>
        <v>Regular</v>
      </c>
      <c r="J45" s="19">
        <v>25</v>
      </c>
    </row>
    <row r="46" spans="1:10" x14ac:dyDescent="0.3">
      <c r="A46" s="10" t="s">
        <v>25</v>
      </c>
      <c r="B46" s="11" t="s">
        <v>14</v>
      </c>
      <c r="C46" s="12">
        <v>0.69699999999999995</v>
      </c>
      <c r="D46" s="12">
        <v>0.74399999999999999</v>
      </c>
      <c r="E46" s="12">
        <f t="shared" si="5"/>
        <v>0.72099999999999997</v>
      </c>
      <c r="F46" s="13">
        <f t="shared" si="6"/>
        <v>-4.7000000000000046</v>
      </c>
      <c r="G46" s="13">
        <f t="shared" si="7"/>
        <v>-1.1380000000000168</v>
      </c>
      <c r="H46" s="12">
        <f t="shared" si="8"/>
        <v>0.70720000000000005</v>
      </c>
      <c r="I46" s="14" t="str">
        <f t="shared" si="9"/>
        <v>Adequado</v>
      </c>
      <c r="J46" s="20">
        <v>3</v>
      </c>
    </row>
    <row r="47" spans="1:10" x14ac:dyDescent="0.3">
      <c r="A47" s="5" t="s">
        <v>25</v>
      </c>
      <c r="B47" s="6" t="s">
        <v>15</v>
      </c>
      <c r="C47" s="7">
        <v>0.68799999999999994</v>
      </c>
      <c r="D47" s="7">
        <v>0.69299999999999995</v>
      </c>
      <c r="E47" s="7">
        <f t="shared" si="5"/>
        <v>0.69099999999999995</v>
      </c>
      <c r="F47" s="8">
        <f t="shared" si="6"/>
        <v>-0.50000000000000044</v>
      </c>
      <c r="G47" s="8">
        <f t="shared" si="7"/>
        <v>-4.1380000000000194</v>
      </c>
      <c r="H47" s="7">
        <f t="shared" si="8"/>
        <v>0.70720000000000005</v>
      </c>
      <c r="I47" s="9" t="str">
        <f t="shared" si="9"/>
        <v>Regular</v>
      </c>
      <c r="J47" s="19">
        <v>2</v>
      </c>
    </row>
    <row r="48" spans="1:10" x14ac:dyDescent="0.3">
      <c r="A48" s="10" t="s">
        <v>25</v>
      </c>
      <c r="B48" s="11" t="s">
        <v>16</v>
      </c>
      <c r="C48" s="12">
        <v>0.61599999999999999</v>
      </c>
      <c r="D48" s="12">
        <v>0.67100000000000004</v>
      </c>
      <c r="E48" s="12">
        <f t="shared" si="5"/>
        <v>0.64400000000000002</v>
      </c>
      <c r="F48" s="13">
        <f t="shared" si="6"/>
        <v>-5.5000000000000053</v>
      </c>
      <c r="G48" s="13">
        <f t="shared" si="7"/>
        <v>-8.8380000000000116</v>
      </c>
      <c r="H48" s="12">
        <f t="shared" si="8"/>
        <v>0.70720000000000005</v>
      </c>
      <c r="I48" s="14" t="str">
        <f t="shared" si="9"/>
        <v>Regular</v>
      </c>
      <c r="J48" s="20">
        <v>2</v>
      </c>
    </row>
    <row r="49" spans="1:10" x14ac:dyDescent="0.3">
      <c r="A49" s="5" t="s">
        <v>25</v>
      </c>
      <c r="B49" s="6" t="s">
        <v>17</v>
      </c>
      <c r="C49" s="7">
        <v>0.76500000000000001</v>
      </c>
      <c r="D49" s="7">
        <v>0.65500000000000003</v>
      </c>
      <c r="E49" s="7">
        <f t="shared" si="5"/>
        <v>0.71</v>
      </c>
      <c r="F49" s="8">
        <f t="shared" si="6"/>
        <v>10.999999999999998</v>
      </c>
      <c r="G49" s="8">
        <f t="shared" si="7"/>
        <v>-2.2380000000000178</v>
      </c>
      <c r="H49" s="7">
        <f t="shared" si="8"/>
        <v>0.70720000000000005</v>
      </c>
      <c r="I49" s="9" t="str">
        <f t="shared" si="9"/>
        <v>Adequado</v>
      </c>
      <c r="J49" s="19">
        <v>3</v>
      </c>
    </row>
    <row r="50" spans="1:10" x14ac:dyDescent="0.3">
      <c r="A50" s="10" t="s">
        <v>25</v>
      </c>
      <c r="B50" s="11" t="s">
        <v>18</v>
      </c>
      <c r="C50" s="12">
        <v>0.71299999999999997</v>
      </c>
      <c r="D50" s="12">
        <v>0.82599999999999996</v>
      </c>
      <c r="E50" s="12">
        <f t="shared" si="5"/>
        <v>0.77</v>
      </c>
      <c r="F50" s="13">
        <f t="shared" si="6"/>
        <v>-11.299999999999999</v>
      </c>
      <c r="G50" s="13">
        <f t="shared" si="7"/>
        <v>3.7619999999999876</v>
      </c>
      <c r="H50" s="12">
        <f t="shared" si="8"/>
        <v>0.70720000000000005</v>
      </c>
      <c r="I50" s="14" t="str">
        <f t="shared" si="9"/>
        <v>Adequado</v>
      </c>
      <c r="J50" s="20">
        <v>11</v>
      </c>
    </row>
    <row r="51" spans="1:10" x14ac:dyDescent="0.3">
      <c r="A51" s="5" t="s">
        <v>26</v>
      </c>
      <c r="B51" s="6" t="s">
        <v>19</v>
      </c>
      <c r="C51" s="7">
        <v>0.71499999999999997</v>
      </c>
      <c r="D51" s="7">
        <v>0.84399999999999997</v>
      </c>
      <c r="E51" s="7">
        <f t="shared" si="5"/>
        <v>0.78</v>
      </c>
      <c r="F51" s="8">
        <f t="shared" si="6"/>
        <v>-12.9</v>
      </c>
      <c r="G51" s="8">
        <f t="shared" si="7"/>
        <v>4.761999999999988</v>
      </c>
      <c r="H51" s="7">
        <f t="shared" si="8"/>
        <v>0.77449999999999997</v>
      </c>
      <c r="I51" s="9" t="str">
        <f t="shared" si="9"/>
        <v>Adequado</v>
      </c>
      <c r="J51" s="19">
        <v>7</v>
      </c>
    </row>
    <row r="52" spans="1:10" x14ac:dyDescent="0.3">
      <c r="A52" s="10" t="s">
        <v>26</v>
      </c>
      <c r="B52" s="11" t="s">
        <v>20</v>
      </c>
      <c r="C52" s="12">
        <v>0.84199999999999997</v>
      </c>
      <c r="D52" s="12">
        <v>0.69499999999999995</v>
      </c>
      <c r="E52" s="12">
        <f t="shared" si="5"/>
        <v>0.76900000000000002</v>
      </c>
      <c r="F52" s="13">
        <f t="shared" si="6"/>
        <v>14.700000000000003</v>
      </c>
      <c r="G52" s="13">
        <f t="shared" si="7"/>
        <v>3.6619999999999875</v>
      </c>
      <c r="H52" s="12">
        <f t="shared" si="8"/>
        <v>0.77449999999999997</v>
      </c>
      <c r="I52" s="14" t="str">
        <f t="shared" si="9"/>
        <v>Adequado</v>
      </c>
      <c r="J52" s="20">
        <v>13</v>
      </c>
    </row>
    <row r="53" spans="1:10" x14ac:dyDescent="0.3">
      <c r="A53" s="25" t="s">
        <v>27</v>
      </c>
      <c r="B53" s="26"/>
      <c r="C53" s="15">
        <f>AVERAGE(C3:C52)</f>
        <v>0.7338800000000002</v>
      </c>
      <c r="D53" s="15">
        <f>AVERAGE(D3:D52)</f>
        <v>0.73025999999999991</v>
      </c>
      <c r="E53" s="15">
        <f>AVERAGE(E3:E52)</f>
        <v>0.73238000000000014</v>
      </c>
      <c r="F53" s="16">
        <f t="shared" si="6"/>
        <v>0.36200000000002897</v>
      </c>
      <c r="G53" s="16" t="s">
        <v>28</v>
      </c>
      <c r="H53" s="17" t="s">
        <v>28</v>
      </c>
      <c r="I53" s="18" t="s">
        <v>29</v>
      </c>
      <c r="J53" s="21">
        <f>AVERAGE(J3:J52)</f>
        <v>8.42</v>
      </c>
    </row>
  </sheetData>
  <mergeCells count="2">
    <mergeCell ref="A1:J1"/>
    <mergeCell ref="A53:B53"/>
  </mergeCells>
  <conditionalFormatting sqref="I3:I52">
    <cfRule type="containsText" dxfId="2" priority="1" operator="containsText" text="Adequado">
      <formula>NOT(ISERROR(SEARCH("Adequado",I3)))</formula>
    </cfRule>
    <cfRule type="containsText" dxfId="1" priority="2" operator="containsText" text="Regular">
      <formula>NOT(ISERROR(SEARCH("Regular",I3)))</formula>
    </cfRule>
    <cfRule type="containsText" dxfId="0" priority="3" operator="containsText" text="Atenção">
      <formula>NOT(ISERROR(SEARCH("Atenção",I3)))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Desempenho por Ano e Componente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Henrique</cp:lastModifiedBy>
  <cp:revision>0</cp:revision>
  <dcterms:created xsi:type="dcterms:W3CDTF">2026-03-27T03:38:14Z</dcterms:created>
  <dcterms:modified xsi:type="dcterms:W3CDTF">2026-08-03T19:07:30Z</dcterms:modified>
  <dc:language>en-US</dc:language>
</cp:coreProperties>
</file>